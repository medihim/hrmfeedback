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jay/Desktop/"/>
    </mc:Choice>
  </mc:AlternateContent>
  <xr:revisionPtr revIDLastSave="0" documentId="13_ncr:1_{2AD36072-757C-3B44-95F7-54F0C718E65A}" xr6:coauthVersionLast="47" xr6:coauthVersionMax="47" xr10:uidLastSave="{00000000-0000-0000-0000-000000000000}"/>
  <bookViews>
    <workbookView xWindow="0" yWindow="660" windowWidth="34560" windowHeight="21680" tabRatio="500" xr2:uid="{00000000-000D-0000-FFFF-FFFF00000000}"/>
  </bookViews>
  <sheets>
    <sheet name="수습평가표" sheetId="2" r:id="rId1"/>
    <sheet name="월별체크리스트" sheetId="3" r:id="rId2"/>
    <sheet name="종합결과" sheetId="4" r:id="rId3"/>
    <sheet name="안내" sheetId="1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E18" i="2"/>
  <c r="I17" i="2"/>
  <c r="J17" i="2" s="1"/>
  <c r="I16" i="2"/>
  <c r="J16" i="2" s="1"/>
  <c r="I15" i="2"/>
  <c r="J15" i="2" s="1"/>
  <c r="D13" i="4" s="1"/>
  <c r="I14" i="2"/>
  <c r="J14" i="2" s="1"/>
  <c r="I13" i="2"/>
  <c r="J13" i="2" s="1"/>
  <c r="D12" i="4" s="1"/>
  <c r="I12" i="2"/>
  <c r="J12" i="2" s="1"/>
  <c r="I11" i="2"/>
  <c r="J11" i="2" s="1"/>
  <c r="D11" i="4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I4" i="2"/>
  <c r="J4" i="2" s="1"/>
  <c r="D9" i="4" l="1"/>
  <c r="J18" i="2"/>
  <c r="D14" i="4" s="1"/>
  <c r="D10" i="4"/>
  <c r="C16" i="4" l="1"/>
  <c r="C15" i="4"/>
</calcChain>
</file>

<file path=xl/sharedStrings.xml><?xml version="1.0" encoding="utf-8"?>
<sst xmlns="http://schemas.openxmlformats.org/spreadsheetml/2006/main" count="129" uniqueCount="124">
  <si>
    <r>
      <rPr>
        <b/>
        <sz val="16"/>
        <color rgb="FF1F2A44"/>
        <rFont val="Arial"/>
        <family val="2"/>
      </rPr>
      <t>IPPEO(</t>
    </r>
    <r>
      <rPr>
        <b/>
        <sz val="16"/>
        <color rgb="FF1F2A44"/>
        <rFont val="Noto Sans CJK SC"/>
        <family val="2"/>
      </rPr>
      <t>이뻐</t>
    </r>
    <r>
      <rPr>
        <b/>
        <sz val="16"/>
        <color rgb="FF1F2A44"/>
        <rFont val="Arial"/>
        <family val="2"/>
      </rPr>
      <t xml:space="preserve">) </t>
    </r>
    <r>
      <rPr>
        <b/>
        <sz val="16"/>
        <color rgb="FF1F2A44"/>
        <rFont val="Noto Sans CJK SC"/>
        <family val="2"/>
      </rPr>
      <t>운영팀장 수습기간</t>
    </r>
    <r>
      <rPr>
        <b/>
        <sz val="16"/>
        <color rgb="FF1F2A44"/>
        <rFont val="Arial"/>
        <family val="2"/>
      </rPr>
      <t>(3</t>
    </r>
    <r>
      <rPr>
        <b/>
        <sz val="16"/>
        <color rgb="FF1F2A44"/>
        <rFont val="Noto Sans CJK SC"/>
        <family val="2"/>
      </rPr>
      <t>개월</t>
    </r>
    <r>
      <rPr>
        <b/>
        <sz val="16"/>
        <color rgb="FF1F2A44"/>
        <rFont val="Arial"/>
        <family val="2"/>
      </rPr>
      <t xml:space="preserve">) </t>
    </r>
    <r>
      <rPr>
        <b/>
        <sz val="16"/>
        <color rgb="FF1F2A44"/>
        <rFont val="Noto Sans CJK SC"/>
        <family val="2"/>
      </rPr>
      <t>평가표</t>
    </r>
  </si>
  <si>
    <r>
      <rPr>
        <i/>
        <sz val="11"/>
        <color rgb="FF3A4A6B"/>
        <rFont val="Noto Sans CJK SC"/>
        <family val="2"/>
      </rPr>
      <t>대상</t>
    </r>
    <r>
      <rPr>
        <i/>
        <sz val="11"/>
        <color rgb="FF3A4A6B"/>
        <rFont val="Arial"/>
        <family val="2"/>
      </rPr>
      <t xml:space="preserve">: </t>
    </r>
    <r>
      <rPr>
        <i/>
        <sz val="11"/>
        <color rgb="FF3A4A6B"/>
        <rFont val="Noto Sans CJK SC"/>
        <family val="2"/>
      </rPr>
      <t xml:space="preserve">한상훈 </t>
    </r>
    <r>
      <rPr>
        <i/>
        <sz val="11"/>
        <color rgb="FF3A4A6B"/>
        <rFont val="Arial"/>
        <family val="2"/>
      </rPr>
      <t xml:space="preserve">(Sanghoon Han) </t>
    </r>
    <r>
      <rPr>
        <i/>
        <sz val="11"/>
        <color rgb="FF3A4A6B"/>
        <rFont val="Noto Sans CJK SC"/>
        <family val="2"/>
      </rPr>
      <t xml:space="preserve">후보자 </t>
    </r>
    <r>
      <rPr>
        <i/>
        <sz val="11"/>
        <color rgb="FF3A4A6B"/>
        <rFont val="Arial"/>
        <family val="2"/>
      </rPr>
      <t xml:space="preserve">/ </t>
    </r>
    <r>
      <rPr>
        <i/>
        <sz val="11"/>
        <color rgb="FF3A4A6B"/>
        <rFont val="Noto Sans CJK SC"/>
        <family val="2"/>
      </rPr>
      <t>포지션</t>
    </r>
    <r>
      <rPr>
        <i/>
        <sz val="11"/>
        <color rgb="FF3A4A6B"/>
        <rFont val="Arial"/>
        <family val="2"/>
      </rPr>
      <t xml:space="preserve">: </t>
    </r>
    <r>
      <rPr>
        <i/>
        <sz val="11"/>
        <color rgb="FF3A4A6B"/>
        <rFont val="Noto Sans CJK SC"/>
        <family val="2"/>
      </rPr>
      <t xml:space="preserve">운영팀장 </t>
    </r>
    <r>
      <rPr>
        <i/>
        <sz val="11"/>
        <color rgb="FF3A4A6B"/>
        <rFont val="Arial"/>
        <family val="2"/>
      </rPr>
      <t>(Operations Team Lead)</t>
    </r>
  </si>
  <si>
    <t>피평가자 성명</t>
  </si>
  <si>
    <t>한상훈</t>
  </si>
  <si>
    <r>
      <rPr>
        <b/>
        <sz val="10"/>
        <color rgb="FF1F2A44"/>
        <rFont val="Noto Sans CJK SC"/>
        <family val="2"/>
      </rPr>
      <t>지원</t>
    </r>
    <r>
      <rPr>
        <b/>
        <sz val="10"/>
        <color rgb="FF1F2A44"/>
        <rFont val="Arial"/>
        <family val="2"/>
      </rPr>
      <t>/</t>
    </r>
    <r>
      <rPr>
        <b/>
        <sz val="10"/>
        <color rgb="FF1F2A44"/>
        <rFont val="Noto Sans CJK SC"/>
        <family val="2"/>
      </rPr>
      <t>채용 포지션</t>
    </r>
  </si>
  <si>
    <r>
      <rPr>
        <sz val="10"/>
        <color rgb="FF000000"/>
        <rFont val="Noto Sans CJK SC"/>
        <family val="2"/>
      </rPr>
      <t xml:space="preserve">운영팀장 </t>
    </r>
    <r>
      <rPr>
        <sz val="10"/>
        <color rgb="FF000000"/>
        <rFont val="Arial"/>
        <family val="2"/>
      </rPr>
      <t>(Operations Team Lead) - CRM/</t>
    </r>
    <r>
      <rPr>
        <sz val="10"/>
        <color rgb="FF000000"/>
        <rFont val="Noto Sans CJK SC"/>
        <family val="2"/>
      </rPr>
      <t>고객</t>
    </r>
    <r>
      <rPr>
        <sz val="10"/>
        <color rgb="FF000000"/>
        <rFont val="Arial"/>
        <family val="2"/>
      </rPr>
      <t xml:space="preserve">DB </t>
    </r>
    <r>
      <rPr>
        <sz val="10"/>
        <color rgb="FF000000"/>
        <rFont val="Noto Sans CJK SC"/>
        <family val="2"/>
      </rPr>
      <t>분석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일본 협력사 커뮤니케이션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상담회 운영관리 총괄</t>
    </r>
  </si>
  <si>
    <t>수습기간</t>
  </si>
  <si>
    <r>
      <rPr>
        <sz val="10"/>
        <color rgb="FF000000"/>
        <rFont val="Noto Sans CJK SC"/>
        <family val="2"/>
      </rPr>
      <t xml:space="preserve">입사일로부터 </t>
    </r>
    <r>
      <rPr>
        <sz val="10"/>
        <color rgb="FF000000"/>
        <rFont val="Arial"/>
        <family val="2"/>
      </rPr>
      <t>3</t>
    </r>
    <r>
      <rPr>
        <sz val="10"/>
        <color rgb="FF000000"/>
        <rFont val="Noto Sans CJK SC"/>
        <family val="2"/>
      </rPr>
      <t xml:space="preserve">개월 </t>
    </r>
    <r>
      <rPr>
        <sz val="10"/>
        <color rgb="FF000000"/>
        <rFont val="Arial"/>
        <family val="2"/>
      </rPr>
      <t>(1</t>
    </r>
    <r>
      <rPr>
        <sz val="10"/>
        <color rgb="FF000000"/>
        <rFont val="Noto Sans CJK SC"/>
        <family val="2"/>
      </rPr>
      <t xml:space="preserve">개월차 </t>
    </r>
    <r>
      <rPr>
        <sz val="10"/>
        <color rgb="FF000000"/>
        <rFont val="Arial"/>
        <family val="2"/>
      </rPr>
      <t>/ 2</t>
    </r>
    <r>
      <rPr>
        <sz val="10"/>
        <color rgb="FF000000"/>
        <rFont val="Noto Sans CJK SC"/>
        <family val="2"/>
      </rPr>
      <t xml:space="preserve">개월차 </t>
    </r>
    <r>
      <rPr>
        <sz val="10"/>
        <color rgb="FF000000"/>
        <rFont val="Arial"/>
        <family val="2"/>
      </rPr>
      <t>/ 3</t>
    </r>
    <r>
      <rPr>
        <sz val="10"/>
        <color rgb="FF000000"/>
        <rFont val="Noto Sans CJK SC"/>
        <family val="2"/>
      </rPr>
      <t>개월차 단계별 평가</t>
    </r>
    <r>
      <rPr>
        <sz val="10"/>
        <color rgb="FF000000"/>
        <rFont val="Arial"/>
        <family val="2"/>
      </rPr>
      <t>)</t>
    </r>
  </si>
  <si>
    <t>평가 목적</t>
  </si>
  <si>
    <t>수습기간 종료 후 정규직 전환 여부 결정을 위한 직무 적합성 및 성과 평가</t>
  </si>
  <si>
    <t>평가자</t>
  </si>
  <si>
    <r>
      <rPr>
        <sz val="10"/>
        <color rgb="FF000000"/>
        <rFont val="Arial"/>
        <family val="2"/>
      </rPr>
      <t xml:space="preserve">( </t>
    </r>
    <r>
      <rPr>
        <sz val="10"/>
        <color rgb="FF000000"/>
        <rFont val="Noto Sans CJK SC"/>
        <family val="2"/>
      </rPr>
      <t xml:space="preserve">작성 필요 </t>
    </r>
    <r>
      <rPr>
        <sz val="10"/>
        <color rgb="FF000000"/>
        <rFont val="Arial"/>
        <family val="2"/>
      </rPr>
      <t xml:space="preserve">-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Noto Sans CJK SC"/>
        <family val="2"/>
      </rPr>
      <t xml:space="preserve">김대진 총괄이사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 xml:space="preserve">박진국 기획팀 등 </t>
    </r>
    <r>
      <rPr>
        <sz val="10"/>
        <color rgb="FF000000"/>
        <rFont val="Arial"/>
        <family val="2"/>
      </rPr>
      <t>)</t>
    </r>
  </si>
  <si>
    <t>평가 기준일</t>
  </si>
  <si>
    <r>
      <rPr>
        <sz val="10"/>
        <color rgb="FF000000"/>
        <rFont val="Arial"/>
        <family val="2"/>
      </rPr>
      <t xml:space="preserve">( </t>
    </r>
    <r>
      <rPr>
        <sz val="10"/>
        <color rgb="FF000000"/>
        <rFont val="Noto Sans CJK SC"/>
        <family val="2"/>
      </rPr>
      <t xml:space="preserve">각 월차 종료 시점 작성 </t>
    </r>
    <r>
      <rPr>
        <sz val="10"/>
        <color rgb="FF000000"/>
        <rFont val="Arial"/>
        <family val="2"/>
      </rPr>
      <t>)</t>
    </r>
  </si>
  <si>
    <r>
      <rPr>
        <b/>
        <sz val="12"/>
        <color rgb="FFFF6F59"/>
        <rFont val="Noto Sans CJK SC"/>
        <family val="2"/>
      </rPr>
      <t xml:space="preserve">■ 평가 척도 안내 </t>
    </r>
    <r>
      <rPr>
        <b/>
        <sz val="12"/>
        <color rgb="FFFF6F59"/>
        <rFont val="Arial"/>
        <family val="2"/>
      </rPr>
      <t>(5</t>
    </r>
    <r>
      <rPr>
        <b/>
        <sz val="12"/>
        <color rgb="FFFF6F59"/>
        <rFont val="Noto Sans CJK SC"/>
        <family val="2"/>
      </rPr>
      <t>점 척도</t>
    </r>
    <r>
      <rPr>
        <b/>
        <sz val="12"/>
        <color rgb="FFFF6F59"/>
        <rFont val="Arial"/>
        <family val="2"/>
      </rPr>
      <t>)</t>
    </r>
  </si>
  <si>
    <t>점수</t>
  </si>
  <si>
    <t>등급</t>
  </si>
  <si>
    <t>정의</t>
  </si>
  <si>
    <r>
      <rPr>
        <b/>
        <sz val="10"/>
        <color rgb="FF000000"/>
        <rFont val="Arial"/>
        <family val="2"/>
      </rPr>
      <t>5</t>
    </r>
    <r>
      <rPr>
        <b/>
        <sz val="10"/>
        <color rgb="FF000000"/>
        <rFont val="Noto Sans CJK SC"/>
        <family val="2"/>
      </rPr>
      <t>점</t>
    </r>
  </si>
  <si>
    <r>
      <rPr>
        <sz val="10"/>
        <color rgb="FF000000"/>
        <rFont val="Noto Sans CJK SC"/>
        <family val="2"/>
      </rPr>
      <t xml:space="preserve">탁월 </t>
    </r>
    <r>
      <rPr>
        <sz val="10"/>
        <color rgb="FF000000"/>
        <rFont val="Arial"/>
        <family val="2"/>
      </rPr>
      <t>(S)</t>
    </r>
  </si>
  <si>
    <r>
      <rPr>
        <sz val="10"/>
        <color rgb="FF000000"/>
        <rFont val="Noto Sans CJK SC"/>
        <family val="2"/>
      </rPr>
      <t>기대 수준을 크게 초과 달성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독자적으로 문제를 발굴하고 해결안까지 제시</t>
    </r>
  </si>
  <si>
    <r>
      <rPr>
        <b/>
        <sz val="10"/>
        <color rgb="FF000000"/>
        <rFont val="Arial"/>
        <family val="2"/>
      </rPr>
      <t>4</t>
    </r>
    <r>
      <rPr>
        <b/>
        <sz val="10"/>
        <color rgb="FF000000"/>
        <rFont val="Noto Sans CJK SC"/>
        <family val="2"/>
      </rPr>
      <t>점</t>
    </r>
  </si>
  <si>
    <r>
      <rPr>
        <sz val="10"/>
        <color rgb="FF000000"/>
        <rFont val="Noto Sans CJK SC"/>
        <family val="2"/>
      </rPr>
      <t xml:space="preserve">우수 </t>
    </r>
    <r>
      <rPr>
        <sz val="10"/>
        <color rgb="FF000000"/>
        <rFont val="Arial"/>
        <family val="2"/>
      </rPr>
      <t>(A)</t>
    </r>
  </si>
  <si>
    <r>
      <rPr>
        <sz val="10"/>
        <color rgb="FF000000"/>
        <rFont val="Noto Sans CJK SC"/>
        <family val="2"/>
      </rPr>
      <t>기대 수준을 상회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별도 지시 없이도 안정적으로 목표 달성</t>
    </r>
  </si>
  <si>
    <r>
      <rPr>
        <b/>
        <sz val="10"/>
        <color rgb="FF000000"/>
        <rFont val="Arial"/>
        <family val="2"/>
      </rPr>
      <t>3</t>
    </r>
    <r>
      <rPr>
        <b/>
        <sz val="10"/>
        <color rgb="FF000000"/>
        <rFont val="Noto Sans CJK SC"/>
        <family val="2"/>
      </rPr>
      <t>점</t>
    </r>
  </si>
  <si>
    <r>
      <rPr>
        <sz val="10"/>
        <color rgb="FF000000"/>
        <rFont val="Noto Sans CJK SC"/>
        <family val="2"/>
      </rPr>
      <t xml:space="preserve">보통 </t>
    </r>
    <r>
      <rPr>
        <sz val="10"/>
        <color rgb="FF000000"/>
        <rFont val="Arial"/>
        <family val="2"/>
      </rPr>
      <t>(B)</t>
    </r>
  </si>
  <si>
    <r>
      <rPr>
        <sz val="10"/>
        <color rgb="FF000000"/>
        <rFont val="Noto Sans CJK SC"/>
        <family val="2"/>
      </rPr>
      <t>기대 수준에 부합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기본 업무를 무리없이 수행</t>
    </r>
  </si>
  <si>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Noto Sans CJK SC"/>
        <family val="2"/>
      </rPr>
      <t>점</t>
    </r>
  </si>
  <si>
    <r>
      <rPr>
        <sz val="10"/>
        <color rgb="FF000000"/>
        <rFont val="Noto Sans CJK SC"/>
        <family val="2"/>
      </rPr>
      <t xml:space="preserve">미흡 </t>
    </r>
    <r>
      <rPr>
        <sz val="10"/>
        <color rgb="FF000000"/>
        <rFont val="Arial"/>
        <family val="2"/>
      </rPr>
      <t>(C)</t>
    </r>
  </si>
  <si>
    <r>
      <rPr>
        <sz val="10"/>
        <color rgb="FF000000"/>
        <rFont val="Noto Sans CJK SC"/>
        <family val="2"/>
      </rPr>
      <t>기대 수준에 다소 미달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보완 지도가 필요</t>
    </r>
  </si>
  <si>
    <r>
      <rPr>
        <b/>
        <sz val="10"/>
        <color rgb="FF000000"/>
        <rFont val="Arial"/>
        <family val="2"/>
      </rPr>
      <t>1</t>
    </r>
    <r>
      <rPr>
        <b/>
        <sz val="10"/>
        <color rgb="FF000000"/>
        <rFont val="Noto Sans CJK SC"/>
        <family val="2"/>
      </rPr>
      <t>점</t>
    </r>
  </si>
  <si>
    <r>
      <rPr>
        <sz val="10"/>
        <color rgb="FF000000"/>
        <rFont val="Noto Sans CJK SC"/>
        <family val="2"/>
      </rPr>
      <t xml:space="preserve">저조 </t>
    </r>
    <r>
      <rPr>
        <sz val="10"/>
        <color rgb="FF000000"/>
        <rFont val="Arial"/>
        <family val="2"/>
      </rPr>
      <t>(D)</t>
    </r>
  </si>
  <si>
    <r>
      <rPr>
        <sz val="10"/>
        <color rgb="FF000000"/>
        <rFont val="Noto Sans CJK SC"/>
        <family val="2"/>
      </rPr>
      <t>기대 수준에 크게 미달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직무 적합성 재검토 필요</t>
    </r>
  </si>
  <si>
    <r>
      <rPr>
        <b/>
        <sz val="12"/>
        <color rgb="FFFF6F59"/>
        <rFont val="Noto Sans CJK SC"/>
        <family val="2"/>
      </rPr>
      <t xml:space="preserve">■ 최종 전환 판정 기준 </t>
    </r>
    <r>
      <rPr>
        <b/>
        <sz val="12"/>
        <color rgb="FFFF6F59"/>
        <rFont val="Arial"/>
        <family val="2"/>
      </rPr>
      <t>(100</t>
    </r>
    <r>
      <rPr>
        <b/>
        <sz val="12"/>
        <color rgb="FFFF6F59"/>
        <rFont val="Noto Sans CJK SC"/>
        <family val="2"/>
      </rPr>
      <t>점 환산 기준</t>
    </r>
    <r>
      <rPr>
        <b/>
        <sz val="12"/>
        <color rgb="FFFF6F59"/>
        <rFont val="Arial"/>
        <family val="2"/>
      </rPr>
      <t>)</t>
    </r>
  </si>
  <si>
    <r>
      <rPr>
        <b/>
        <sz val="10"/>
        <color rgb="FF000000"/>
        <rFont val="Arial"/>
        <family val="2"/>
      </rPr>
      <t>90</t>
    </r>
    <r>
      <rPr>
        <b/>
        <sz val="10"/>
        <color rgb="FF000000"/>
        <rFont val="Noto Sans CJK SC"/>
        <family val="2"/>
      </rPr>
      <t>점 이상</t>
    </r>
  </si>
  <si>
    <r>
      <rPr>
        <sz val="10"/>
        <color rgb="FF000000"/>
        <rFont val="Noto Sans CJK SC"/>
        <family val="2"/>
      </rPr>
      <t xml:space="preserve">정규직 전환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우수</t>
    </r>
    <r>
      <rPr>
        <sz val="10"/>
        <color rgb="FF000000"/>
        <rFont val="Arial"/>
        <family val="2"/>
      </rPr>
      <t>)</t>
    </r>
  </si>
  <si>
    <r>
      <rPr>
        <b/>
        <sz val="10"/>
        <color rgb="FF000000"/>
        <rFont val="Arial"/>
        <family val="2"/>
      </rPr>
      <t>80~89.9</t>
    </r>
    <r>
      <rPr>
        <b/>
        <sz val="10"/>
        <color rgb="FF000000"/>
        <rFont val="Noto Sans CJK SC"/>
        <family val="2"/>
      </rPr>
      <t>점</t>
    </r>
  </si>
  <si>
    <t>정규직 전환</t>
  </si>
  <si>
    <r>
      <rPr>
        <b/>
        <sz val="10"/>
        <color rgb="FF000000"/>
        <rFont val="Arial"/>
        <family val="2"/>
      </rPr>
      <t>70~79.9</t>
    </r>
    <r>
      <rPr>
        <b/>
        <sz val="10"/>
        <color rgb="FF000000"/>
        <rFont val="Noto Sans CJK SC"/>
        <family val="2"/>
      </rPr>
      <t>점</t>
    </r>
  </si>
  <si>
    <r>
      <rPr>
        <sz val="10"/>
        <color rgb="FF000000"/>
        <rFont val="Noto Sans CJK SC"/>
        <family val="2"/>
      </rPr>
      <t xml:space="preserve">조건부 전환 </t>
    </r>
    <r>
      <rPr>
        <sz val="10"/>
        <color rgb="FF000000"/>
        <rFont val="Arial"/>
        <family val="2"/>
      </rPr>
      <t>(1</t>
    </r>
    <r>
      <rPr>
        <sz val="10"/>
        <color rgb="FF000000"/>
        <rFont val="Noto Sans CJK SC"/>
        <family val="2"/>
      </rPr>
      <t>개월 추가 관찰 또는 보완 계획 수립 후 전환</t>
    </r>
    <r>
      <rPr>
        <sz val="10"/>
        <color rgb="FF000000"/>
        <rFont val="Arial"/>
        <family val="2"/>
      </rPr>
      <t>)</t>
    </r>
  </si>
  <si>
    <r>
      <rPr>
        <b/>
        <sz val="10"/>
        <color rgb="FF000000"/>
        <rFont val="Arial"/>
        <family val="2"/>
      </rPr>
      <t>70</t>
    </r>
    <r>
      <rPr>
        <b/>
        <sz val="10"/>
        <color rgb="FF000000"/>
        <rFont val="Noto Sans CJK SC"/>
        <family val="2"/>
      </rPr>
      <t>점 미만</t>
    </r>
  </si>
  <si>
    <r>
      <rPr>
        <sz val="10"/>
        <color rgb="FF000000"/>
        <rFont val="Noto Sans CJK SC"/>
        <family val="2"/>
      </rPr>
      <t xml:space="preserve">전환 보류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재검토</t>
    </r>
  </si>
  <si>
    <r>
      <rPr>
        <i/>
        <sz val="9"/>
        <color rgb="FF808080"/>
        <rFont val="Noto Sans CJK SC"/>
        <family val="2"/>
      </rPr>
      <t>※ 노란색 음영 셀은 평가자가 직접 입력하는 셀입니다</t>
    </r>
    <r>
      <rPr>
        <i/>
        <sz val="9"/>
        <color rgb="FF808080"/>
        <rFont val="Arial"/>
        <family val="2"/>
      </rPr>
      <t>. (</t>
    </r>
    <r>
      <rPr>
        <i/>
        <sz val="9"/>
        <color rgb="FF808080"/>
        <rFont val="Noto Sans CJK SC"/>
        <family val="2"/>
      </rPr>
      <t>점수</t>
    </r>
    <r>
      <rPr>
        <i/>
        <sz val="9"/>
        <color rgb="FF808080"/>
        <rFont val="Arial"/>
        <family val="2"/>
      </rPr>
      <t xml:space="preserve">, </t>
    </r>
    <r>
      <rPr>
        <i/>
        <sz val="9"/>
        <color rgb="FF808080"/>
        <rFont val="Noto Sans CJK SC"/>
        <family val="2"/>
      </rPr>
      <t>코멘트</t>
    </r>
    <r>
      <rPr>
        <i/>
        <sz val="9"/>
        <color rgb="FF808080"/>
        <rFont val="Arial"/>
        <family val="2"/>
      </rPr>
      <t xml:space="preserve">, </t>
    </r>
    <r>
      <rPr>
        <i/>
        <sz val="9"/>
        <color rgb="FF808080"/>
        <rFont val="Noto Sans CJK SC"/>
        <family val="2"/>
      </rPr>
      <t>담당자명 등</t>
    </r>
    <r>
      <rPr>
        <i/>
        <sz val="9"/>
        <color rgb="FF808080"/>
        <rFont val="Arial"/>
        <family val="2"/>
      </rPr>
      <t>)</t>
    </r>
  </si>
  <si>
    <t>대분류</t>
  </si>
  <si>
    <t>세부 평가항목</t>
  </si>
  <si>
    <r>
      <rPr>
        <b/>
        <sz val="11"/>
        <color rgb="FFFFFFFF"/>
        <rFont val="Noto Sans CJK SC"/>
        <family val="2"/>
      </rPr>
      <t xml:space="preserve">평가 내용 </t>
    </r>
    <r>
      <rPr>
        <b/>
        <sz val="11"/>
        <color rgb="FFFFFFFF"/>
        <rFont val="Arial"/>
        <family val="2"/>
      </rPr>
      <t xml:space="preserve">/ </t>
    </r>
    <r>
      <rPr>
        <b/>
        <sz val="11"/>
        <color rgb="FFFFFFFF"/>
        <rFont val="Noto Sans CJK SC"/>
        <family val="2"/>
      </rPr>
      <t>기준</t>
    </r>
  </si>
  <si>
    <t>가중치</t>
  </si>
  <si>
    <r>
      <rPr>
        <b/>
        <sz val="11"/>
        <color rgb="FFFFFFFF"/>
        <rFont val="Arial"/>
        <family val="2"/>
      </rPr>
      <t>1</t>
    </r>
    <r>
      <rPr>
        <b/>
        <sz val="11"/>
        <color rgb="FFFFFFFF"/>
        <rFont val="Noto Sans CJK SC"/>
        <family val="2"/>
      </rPr>
      <t>개월차
점수</t>
    </r>
    <r>
      <rPr>
        <b/>
        <sz val="11"/>
        <color rgb="FFFFFFFF"/>
        <rFont val="Arial"/>
        <family val="2"/>
      </rPr>
      <t>(1-5)</t>
    </r>
  </si>
  <si>
    <r>
      <rPr>
        <b/>
        <sz val="11"/>
        <color rgb="FFFFFFFF"/>
        <rFont val="Arial"/>
        <family val="2"/>
      </rPr>
      <t>2</t>
    </r>
    <r>
      <rPr>
        <b/>
        <sz val="11"/>
        <color rgb="FFFFFFFF"/>
        <rFont val="Noto Sans CJK SC"/>
        <family val="2"/>
      </rPr>
      <t>개월차
점수</t>
    </r>
    <r>
      <rPr>
        <b/>
        <sz val="11"/>
        <color rgb="FFFFFFFF"/>
        <rFont val="Arial"/>
        <family val="2"/>
      </rPr>
      <t>(1-5)</t>
    </r>
  </si>
  <si>
    <r>
      <rPr>
        <b/>
        <sz val="11"/>
        <color rgb="FFFFFFFF"/>
        <rFont val="Arial"/>
        <family val="2"/>
      </rPr>
      <t>3</t>
    </r>
    <r>
      <rPr>
        <b/>
        <sz val="11"/>
        <color rgb="FFFFFFFF"/>
        <rFont val="Noto Sans CJK SC"/>
        <family val="2"/>
      </rPr>
      <t>개월차
점수</t>
    </r>
    <r>
      <rPr>
        <b/>
        <sz val="11"/>
        <color rgb="FFFFFFFF"/>
        <rFont val="Arial"/>
        <family val="2"/>
      </rPr>
      <t>(1-5)</t>
    </r>
  </si>
  <si>
    <t>평균점수</t>
  </si>
  <si>
    <r>
      <rPr>
        <b/>
        <sz val="11"/>
        <color rgb="FFFFFFFF"/>
        <rFont val="Noto Sans CJK SC"/>
        <family val="2"/>
      </rPr>
      <t xml:space="preserve">가중점수
</t>
    </r>
    <r>
      <rPr>
        <b/>
        <sz val="11"/>
        <color rgb="FFFFFFFF"/>
        <rFont val="Arial"/>
        <family val="2"/>
      </rPr>
      <t>(100</t>
    </r>
    <r>
      <rPr>
        <b/>
        <sz val="11"/>
        <color rgb="FFFFFFFF"/>
        <rFont val="Noto Sans CJK SC"/>
        <family val="2"/>
      </rPr>
      <t>점 환산</t>
    </r>
    <r>
      <rPr>
        <b/>
        <sz val="11"/>
        <color rgb="FFFFFFFF"/>
        <rFont val="Arial"/>
        <family val="2"/>
      </rPr>
      <t>)</t>
    </r>
  </si>
  <si>
    <t>평가자 코멘트</t>
  </si>
  <si>
    <r>
      <rPr>
        <b/>
        <sz val="10"/>
        <color rgb="FF000000"/>
        <rFont val="Arial"/>
        <family val="2"/>
      </rPr>
      <t xml:space="preserve">CRM </t>
    </r>
    <r>
      <rPr>
        <b/>
        <sz val="10"/>
        <color rgb="FF000000"/>
        <rFont val="Noto Sans CJK SC"/>
        <family val="2"/>
      </rPr>
      <t>데이터 구조 이해 및 활용</t>
    </r>
  </si>
  <si>
    <r>
      <rPr>
        <sz val="10"/>
        <color rgb="FF000000"/>
        <rFont val="Noto Sans CJK SC"/>
        <family val="2"/>
      </rPr>
      <t xml:space="preserve">구축 중인 </t>
    </r>
    <r>
      <rPr>
        <sz val="10"/>
        <color rgb="FF000000"/>
        <rFont val="Arial"/>
        <family val="2"/>
      </rPr>
      <t xml:space="preserve">CRM </t>
    </r>
    <r>
      <rPr>
        <sz val="10"/>
        <color rgb="FF000000"/>
        <rFont val="Noto Sans CJK SC"/>
        <family val="2"/>
      </rPr>
      <t>시스템의 데이터 구조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필드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로직을 정확히 이해하고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실제 운영 업무에 정합성 있게 적용하는가</t>
    </r>
  </si>
  <si>
    <r>
      <rPr>
        <b/>
        <sz val="10"/>
        <color rgb="FF000000"/>
        <rFont val="Noto Sans CJK SC"/>
        <family val="2"/>
      </rPr>
      <t xml:space="preserve">고객 </t>
    </r>
    <r>
      <rPr>
        <b/>
        <sz val="10"/>
        <color rgb="FF000000"/>
        <rFont val="Arial"/>
        <family val="2"/>
      </rPr>
      <t xml:space="preserve">DB </t>
    </r>
    <r>
      <rPr>
        <b/>
        <sz val="10"/>
        <color rgb="FF000000"/>
        <rFont val="Noto Sans CJK SC"/>
        <family val="2"/>
      </rPr>
      <t>분석 기반 인사이트 도출</t>
    </r>
  </si>
  <si>
    <r>
      <rPr>
        <sz val="10"/>
        <color rgb="FF000000"/>
        <rFont val="Noto Sans CJK SC"/>
        <family val="2"/>
      </rPr>
      <t xml:space="preserve">고객 </t>
    </r>
    <r>
      <rPr>
        <sz val="10"/>
        <color rgb="FF000000"/>
        <rFont val="Arial"/>
        <family val="2"/>
      </rPr>
      <t>DB</t>
    </r>
    <r>
      <rPr>
        <sz val="10"/>
        <color rgb="FF000000"/>
        <rFont val="Noto Sans CJK SC"/>
        <family val="2"/>
      </rPr>
      <t>를 분석하여 마케팅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서비스기획팀이 실질적으로 활용할 수 있는 전략적 인사이트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세그먼트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패턴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페인포인트 등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를 도출하는가</t>
    </r>
  </si>
  <si>
    <t>상담회 사전 모객현황 파악</t>
  </si>
  <si>
    <r>
      <rPr>
        <sz val="10"/>
        <color rgb="FF000000"/>
        <rFont val="Noto Sans CJK SC"/>
        <family val="2"/>
      </rPr>
      <t>상담회 진행 전 채널별 모객 현황을 정확히 파악하고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데이터 기반으로 리포팅하는가</t>
    </r>
  </si>
  <si>
    <t>모객 고객 성향분석</t>
  </si>
  <si>
    <r>
      <rPr>
        <sz val="10"/>
        <color rgb="FF000000"/>
        <rFont val="Noto Sans CJK SC"/>
        <family val="2"/>
      </rPr>
      <t>파악된 모객 고객의 성향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니즈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시술 관심도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예산 등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을 분석하여 상담 매칭 및 운영 전략에 실질적으로 반영하는가</t>
    </r>
  </si>
  <si>
    <t>상담회 당일 화상상담 운영관리</t>
  </si>
  <si>
    <r>
      <rPr>
        <sz val="10"/>
        <color rgb="FF000000"/>
        <rFont val="Noto Sans CJK SC"/>
        <family val="2"/>
      </rPr>
      <t>비대면 화상상담 진행 전반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스케줄링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참석 확인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기술적 이슈 대응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고객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의료진 커뮤니케이션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을 안정적으로 관리하는가</t>
    </r>
  </si>
  <si>
    <r>
      <rPr>
        <b/>
        <sz val="10"/>
        <color rgb="FF000000"/>
        <rFont val="Noto Sans CJK SC"/>
        <family val="2"/>
      </rPr>
      <t xml:space="preserve">상담회 후속 </t>
    </r>
    <r>
      <rPr>
        <b/>
        <sz val="10"/>
        <color rgb="FF000000"/>
        <rFont val="Arial"/>
        <family val="2"/>
      </rPr>
      <t xml:space="preserve">DB </t>
    </r>
    <r>
      <rPr>
        <b/>
        <sz val="10"/>
        <color rgb="FF000000"/>
        <rFont val="Noto Sans CJK SC"/>
        <family val="2"/>
      </rPr>
      <t>관리 체계</t>
    </r>
  </si>
  <si>
    <r>
      <rPr>
        <sz val="10"/>
        <color rgb="FF000000"/>
        <rFont val="Noto Sans CJK SC"/>
        <family val="2"/>
      </rPr>
      <t xml:space="preserve">상담회 종료 후 고객 </t>
    </r>
    <r>
      <rPr>
        <sz val="10"/>
        <color rgb="FF000000"/>
        <rFont val="Arial"/>
        <family val="2"/>
      </rPr>
      <t>DB</t>
    </r>
    <r>
      <rPr>
        <sz val="10"/>
        <color rgb="FF000000"/>
        <rFont val="Noto Sans CJK SC"/>
        <family val="2"/>
      </rPr>
      <t>를 체계적으로 정리하고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후속 컨택 및 관리 프로세스를 수립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운영하는가</t>
    </r>
  </si>
  <si>
    <t>전환율 분석 및 개선안 제시</t>
  </si>
  <si>
    <r>
      <rPr>
        <sz val="10"/>
        <color rgb="FF000000"/>
        <rFont val="Noto Sans CJK SC"/>
        <family val="2"/>
      </rPr>
      <t>상담</t>
    </r>
    <r>
      <rPr>
        <sz val="10"/>
        <color rgb="FF000000"/>
        <rFont val="Arial"/>
        <family val="2"/>
      </rPr>
      <t>-</t>
    </r>
    <r>
      <rPr>
        <sz val="10"/>
        <color rgb="FF000000"/>
        <rFont val="Noto Sans CJK SC"/>
        <family val="2"/>
      </rPr>
      <t>예약</t>
    </r>
    <r>
      <rPr>
        <sz val="10"/>
        <color rgb="FF000000"/>
        <rFont val="Arial"/>
        <family val="2"/>
      </rPr>
      <t>-</t>
    </r>
    <r>
      <rPr>
        <sz val="10"/>
        <color rgb="FF000000"/>
        <rFont val="Noto Sans CJK SC"/>
        <family val="2"/>
      </rPr>
      <t>내원 전환 데이터를 분석하여 이탈 구간을 파악하고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구체적 개선안을 제시하는가</t>
    </r>
  </si>
  <si>
    <t>일본 모객 협력업체 커뮤니케이션</t>
  </si>
  <si>
    <r>
      <rPr>
        <sz val="10"/>
        <color rgb="FF000000"/>
        <rFont val="Noto Sans CJK SC"/>
        <family val="2"/>
      </rPr>
      <t>일본 현지 모객 협력업체와 원활하게 커뮤니케이션하며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협업 이슈를 주도적으로 조율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해결하는가</t>
    </r>
  </si>
  <si>
    <t>마케팅 콘텐츠 제작사 협업</t>
  </si>
  <si>
    <t>일본 마케팅 콘텐츠 제작사와의 협업 시 결과물의 품질과 일정을 효과적으로 관리하는가</t>
  </si>
  <si>
    <r>
      <rPr>
        <b/>
        <sz val="10"/>
        <color rgb="FF000000"/>
        <rFont val="Noto Sans CJK SC"/>
        <family val="2"/>
      </rPr>
      <t>운영 프로세스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Noto Sans CJK SC"/>
        <family val="2"/>
      </rPr>
      <t>매뉴얼 정립</t>
    </r>
  </si>
  <si>
    <r>
      <rPr>
        <sz val="10"/>
        <color rgb="FF000000"/>
        <rFont val="Noto Sans CJK SC"/>
        <family val="2"/>
      </rPr>
      <t>운영팀 업무 프로세스 및 매뉴얼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가이드라인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체크리스트 등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을 정립하여 팀 전체의 업무 표준화에 기여하는가</t>
    </r>
  </si>
  <si>
    <t>유관부서 협업 리딩</t>
  </si>
  <si>
    <r>
      <rPr>
        <sz val="10"/>
        <color rgb="FF000000"/>
        <rFont val="Noto Sans CJK SC"/>
        <family val="2"/>
      </rPr>
      <t>마케팅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기획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개발</t>
    </r>
    <r>
      <rPr>
        <sz val="10"/>
        <color rgb="FF000000"/>
        <rFont val="Arial"/>
        <family val="2"/>
      </rPr>
      <t xml:space="preserve">·CS </t>
    </r>
    <r>
      <rPr>
        <sz val="10"/>
        <color rgb="FF000000"/>
        <rFont val="Noto Sans CJK SC"/>
        <family val="2"/>
      </rPr>
      <t>등 유관부서와의 협업을 주도적으로 리딩하고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원활한 커뮤니케이션 체계를 구축하는가</t>
    </r>
  </si>
  <si>
    <r>
      <rPr>
        <b/>
        <sz val="10"/>
        <color rgb="FF000000"/>
        <rFont val="Noto Sans CJK SC"/>
        <family val="2"/>
      </rPr>
      <t>회사 비전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Noto Sans CJK SC"/>
        <family val="2"/>
      </rPr>
      <t>가치관 이해 및 적응</t>
    </r>
  </si>
  <si>
    <r>
      <rPr>
        <sz val="10"/>
        <color rgb="FF000000"/>
        <rFont val="Arial"/>
        <family val="2"/>
      </rPr>
      <t>IPPEO/</t>
    </r>
    <r>
      <rPr>
        <sz val="10"/>
        <color rgb="FF000000"/>
        <rFont val="Noto Sans CJK SC"/>
        <family val="2"/>
      </rPr>
      <t>캐스팅엔의 사업 방향성과 조직문화를 이해하고 자연스럽게 적응하는가</t>
    </r>
  </si>
  <si>
    <r>
      <rPr>
        <b/>
        <sz val="10"/>
        <color rgb="FF000000"/>
        <rFont val="Noto Sans CJK SC"/>
        <family val="2"/>
      </rPr>
      <t>근태</t>
    </r>
    <r>
      <rPr>
        <b/>
        <sz val="10"/>
        <color rgb="FF000000"/>
        <rFont val="Arial"/>
        <family val="2"/>
      </rPr>
      <t xml:space="preserve">, </t>
    </r>
    <r>
      <rPr>
        <b/>
        <sz val="10"/>
        <color rgb="FF000000"/>
        <rFont val="Noto Sans CJK SC"/>
        <family val="2"/>
      </rPr>
      <t>성실성</t>
    </r>
    <r>
      <rPr>
        <b/>
        <sz val="10"/>
        <color rgb="FF000000"/>
        <rFont val="Arial"/>
        <family val="2"/>
      </rPr>
      <t xml:space="preserve">, </t>
    </r>
    <r>
      <rPr>
        <b/>
        <sz val="10"/>
        <color rgb="FF000000"/>
        <rFont val="Noto Sans CJK SC"/>
        <family val="2"/>
      </rPr>
      <t>책임감</t>
    </r>
  </si>
  <si>
    <r>
      <rPr>
        <sz val="10"/>
        <color rgb="FF000000"/>
        <rFont val="Noto Sans CJK SC"/>
        <family val="2"/>
      </rPr>
      <t>출퇴근 및 근태가 성실하며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맡은 업무에 책임감을 갖고 임하는가</t>
    </r>
  </si>
  <si>
    <t>문제해결 주도성 및 자기개발</t>
  </si>
  <si>
    <r>
      <rPr>
        <sz val="10"/>
        <color rgb="FF000000"/>
        <rFont val="Noto Sans CJK SC"/>
        <family val="2"/>
      </rPr>
      <t>발생한 문제를 수동적으로 보고하는 데 그치지 않고 주도적으로 해결하며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부족한 역량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도메인 지식 등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을 스스로 학습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보완하는가</t>
    </r>
  </si>
  <si>
    <r>
      <rPr>
        <b/>
        <sz val="11"/>
        <color rgb="FFFFFFFF"/>
        <rFont val="Noto Sans CJK SC"/>
        <family val="2"/>
      </rPr>
      <t xml:space="preserve">합계 </t>
    </r>
    <r>
      <rPr>
        <b/>
        <sz val="11"/>
        <color rgb="FFFFFFFF"/>
        <rFont val="Arial"/>
        <family val="2"/>
      </rPr>
      <t>(Total)</t>
    </r>
  </si>
  <si>
    <r>
      <rPr>
        <b/>
        <sz val="14"/>
        <color rgb="FF1F2A44"/>
        <rFont val="Noto Sans CJK SC"/>
        <family val="2"/>
      </rPr>
      <t xml:space="preserve">월차별 핵심 마일스톤 체크리스트 </t>
    </r>
    <r>
      <rPr>
        <b/>
        <sz val="14"/>
        <color rgb="FF1F2A44"/>
        <rFont val="Arial"/>
        <family val="2"/>
      </rPr>
      <t>(</t>
    </r>
    <r>
      <rPr>
        <b/>
        <sz val="14"/>
        <color rgb="FF1F2A44"/>
        <rFont val="Noto Sans CJK SC"/>
        <family val="2"/>
      </rPr>
      <t xml:space="preserve">수습기간 </t>
    </r>
    <r>
      <rPr>
        <b/>
        <sz val="14"/>
        <color rgb="FF1F2A44"/>
        <rFont val="Arial"/>
        <family val="2"/>
      </rPr>
      <t>3</t>
    </r>
    <r>
      <rPr>
        <b/>
        <sz val="14"/>
        <color rgb="FF1F2A44"/>
        <rFont val="Noto Sans CJK SC"/>
        <family val="2"/>
      </rPr>
      <t>개월</t>
    </r>
    <r>
      <rPr>
        <b/>
        <sz val="14"/>
        <color rgb="FF1F2A44"/>
        <rFont val="Arial"/>
        <family val="2"/>
      </rPr>
      <t>)</t>
    </r>
  </si>
  <si>
    <r>
      <rPr>
        <i/>
        <sz val="9"/>
        <color rgb="FF808080"/>
        <rFont val="Noto Sans CJK SC"/>
        <family val="2"/>
      </rPr>
      <t xml:space="preserve">※ 본 체크리스트는 </t>
    </r>
    <r>
      <rPr>
        <i/>
        <sz val="9"/>
        <color rgb="FF808080"/>
        <rFont val="Arial"/>
        <family val="2"/>
      </rPr>
      <t>'</t>
    </r>
    <r>
      <rPr>
        <i/>
        <sz val="9"/>
        <color rgb="FF808080"/>
        <rFont val="Noto Sans CJK SC"/>
        <family val="2"/>
      </rPr>
      <t>수습평가표</t>
    </r>
    <r>
      <rPr>
        <i/>
        <sz val="9"/>
        <color rgb="FF808080"/>
        <rFont val="Arial"/>
        <family val="2"/>
      </rPr>
      <t>'</t>
    </r>
    <r>
      <rPr>
        <i/>
        <sz val="9"/>
        <color rgb="FF808080"/>
        <rFont val="Noto Sans CJK SC"/>
        <family val="2"/>
      </rPr>
      <t>의 정성적 판단 근거 자료로 활용합니다</t>
    </r>
    <r>
      <rPr>
        <i/>
        <sz val="9"/>
        <color rgb="FF808080"/>
        <rFont val="Arial"/>
        <family val="2"/>
      </rPr>
      <t>.</t>
    </r>
  </si>
  <si>
    <t>월차</t>
  </si>
  <si>
    <r>
      <rPr>
        <b/>
        <sz val="11"/>
        <color rgb="FFFFFFFF"/>
        <rFont val="Noto Sans CJK SC"/>
        <family val="2"/>
      </rPr>
      <t xml:space="preserve">핵심 마일스톤 </t>
    </r>
    <r>
      <rPr>
        <b/>
        <sz val="11"/>
        <color rgb="FFFFFFFF"/>
        <rFont val="Arial"/>
        <family val="2"/>
      </rPr>
      <t xml:space="preserve">/ </t>
    </r>
    <r>
      <rPr>
        <b/>
        <sz val="11"/>
        <color rgb="FFFFFFFF"/>
        <rFont val="Noto Sans CJK SC"/>
        <family val="2"/>
      </rPr>
      <t>기대 산출물</t>
    </r>
  </si>
  <si>
    <r>
      <rPr>
        <b/>
        <sz val="11"/>
        <color rgb="FFFFFFFF"/>
        <rFont val="Noto Sans CJK SC"/>
        <family val="2"/>
      </rPr>
      <t xml:space="preserve">달성여부
</t>
    </r>
    <r>
      <rPr>
        <b/>
        <sz val="11"/>
        <color rgb="FFFFFFFF"/>
        <rFont val="Arial"/>
        <family val="2"/>
      </rPr>
      <t>(O/△/X)</t>
    </r>
  </si>
  <si>
    <r>
      <rPr>
        <b/>
        <sz val="10"/>
        <color rgb="FF1F2A44"/>
        <rFont val="Arial"/>
        <family val="2"/>
      </rPr>
      <t>1</t>
    </r>
    <r>
      <rPr>
        <b/>
        <sz val="10"/>
        <color rgb="FF1F2A44"/>
        <rFont val="Noto Sans CJK SC"/>
        <family val="2"/>
      </rPr>
      <t xml:space="preserve">개월차
</t>
    </r>
    <r>
      <rPr>
        <b/>
        <sz val="10"/>
        <color rgb="FF1F2A44"/>
        <rFont val="Arial"/>
        <family val="2"/>
      </rPr>
      <t>(</t>
    </r>
    <r>
      <rPr>
        <b/>
        <sz val="10"/>
        <color rgb="FF1F2A44"/>
        <rFont val="Noto Sans CJK SC"/>
        <family val="2"/>
      </rPr>
      <t>적응</t>
    </r>
    <r>
      <rPr>
        <b/>
        <sz val="10"/>
        <color rgb="FF1F2A44"/>
        <rFont val="Arial"/>
        <family val="2"/>
      </rPr>
      <t>·</t>
    </r>
    <r>
      <rPr>
        <b/>
        <sz val="10"/>
        <color rgb="FF1F2A44"/>
        <rFont val="Noto Sans CJK SC"/>
        <family val="2"/>
      </rPr>
      <t>파악</t>
    </r>
    <r>
      <rPr>
        <b/>
        <sz val="10"/>
        <color rgb="FF1F2A44"/>
        <rFont val="Arial"/>
        <family val="2"/>
      </rPr>
      <t>)</t>
    </r>
  </si>
  <si>
    <r>
      <rPr>
        <sz val="10"/>
        <color rgb="FF000000"/>
        <rFont val="Arial"/>
        <family val="2"/>
      </rPr>
      <t xml:space="preserve">CRM </t>
    </r>
    <r>
      <rPr>
        <sz val="10"/>
        <color rgb="FF000000"/>
        <rFont val="Noto Sans CJK SC"/>
        <family val="2"/>
      </rPr>
      <t xml:space="preserve">구축 현황 및 기존 고객 </t>
    </r>
    <r>
      <rPr>
        <sz val="10"/>
        <color rgb="FF000000"/>
        <rFont val="Arial"/>
        <family val="2"/>
      </rPr>
      <t xml:space="preserve">DB </t>
    </r>
    <r>
      <rPr>
        <sz val="10"/>
        <color rgb="FF000000"/>
        <rFont val="Noto Sans CJK SC"/>
        <family val="2"/>
      </rPr>
      <t>구조 파악 완료</t>
    </r>
  </si>
  <si>
    <r>
      <rPr>
        <sz val="10"/>
        <color rgb="FF000000"/>
        <rFont val="Noto Sans CJK SC"/>
        <family val="2"/>
      </rPr>
      <t xml:space="preserve">일본 모객 협력업체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콘텐츠 제작사 리스트 및 연락 채널 파악</t>
    </r>
    <r>
      <rPr>
        <sz val="10"/>
        <color rgb="FF000000"/>
        <rFont val="Arial"/>
        <family val="2"/>
      </rPr>
      <t>, 1</t>
    </r>
    <r>
      <rPr>
        <sz val="10"/>
        <color rgb="FF000000"/>
        <rFont val="Noto Sans CJK SC"/>
        <family val="2"/>
      </rPr>
      <t>차 인사 커뮤니케이션 진행</t>
    </r>
  </si>
  <si>
    <r>
      <rPr>
        <sz val="10"/>
        <color rgb="FF000000"/>
        <rFont val="Noto Sans CJK SC"/>
        <family val="2"/>
      </rPr>
      <t xml:space="preserve">직전 상담회 </t>
    </r>
    <r>
      <rPr>
        <sz val="10"/>
        <color rgb="FF000000"/>
        <rFont val="Arial"/>
        <family val="2"/>
      </rPr>
      <t>1~2</t>
    </r>
    <r>
      <rPr>
        <sz val="10"/>
        <color rgb="FF000000"/>
        <rFont val="Noto Sans CJK SC"/>
        <family val="2"/>
      </rPr>
      <t>회 참관 및 운영 프로세스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사전</t>
    </r>
    <r>
      <rPr>
        <sz val="10"/>
        <color rgb="FF000000"/>
        <rFont val="Arial"/>
        <family val="2"/>
      </rPr>
      <t>-</t>
    </r>
    <r>
      <rPr>
        <sz val="10"/>
        <color rgb="FF000000"/>
        <rFont val="Noto Sans CJK SC"/>
        <family val="2"/>
      </rPr>
      <t>당일</t>
    </r>
    <r>
      <rPr>
        <sz val="10"/>
        <color rgb="FF000000"/>
        <rFont val="Arial"/>
        <family val="2"/>
      </rPr>
      <t>-</t>
    </r>
    <r>
      <rPr>
        <sz val="10"/>
        <color rgb="FF000000"/>
        <rFont val="Noto Sans CJK SC"/>
        <family val="2"/>
      </rPr>
      <t>사후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Noto Sans CJK SC"/>
        <family val="2"/>
      </rPr>
      <t>숙지</t>
    </r>
  </si>
  <si>
    <r>
      <rPr>
        <sz val="10"/>
        <color rgb="FF000000"/>
        <rFont val="Noto Sans CJK SC"/>
        <family val="2"/>
      </rPr>
      <t>운영팀 업무 현황 및 유관부서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마케팅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기획</t>
    </r>
    <r>
      <rPr>
        <sz val="10"/>
        <color rgb="FF000000"/>
        <rFont val="Arial"/>
        <family val="2"/>
      </rPr>
      <t xml:space="preserve">/CS) </t>
    </r>
    <r>
      <rPr>
        <sz val="10"/>
        <color rgb="FF000000"/>
        <rFont val="Noto Sans CJK SC"/>
        <family val="2"/>
      </rPr>
      <t>협업 구조 파악</t>
    </r>
  </si>
  <si>
    <r>
      <rPr>
        <b/>
        <sz val="10"/>
        <color rgb="FF1F2A44"/>
        <rFont val="Arial"/>
        <family val="2"/>
      </rPr>
      <t>2</t>
    </r>
    <r>
      <rPr>
        <b/>
        <sz val="10"/>
        <color rgb="FF1F2A44"/>
        <rFont val="Noto Sans CJK SC"/>
        <family val="2"/>
      </rPr>
      <t xml:space="preserve">개월차
</t>
    </r>
    <r>
      <rPr>
        <b/>
        <sz val="10"/>
        <color rgb="FF1F2A44"/>
        <rFont val="Arial"/>
        <family val="2"/>
      </rPr>
      <t>(</t>
    </r>
    <r>
      <rPr>
        <b/>
        <sz val="10"/>
        <color rgb="FF1F2A44"/>
        <rFont val="Noto Sans CJK SC"/>
        <family val="2"/>
      </rPr>
      <t>실행</t>
    </r>
    <r>
      <rPr>
        <b/>
        <sz val="10"/>
        <color rgb="FF1F2A44"/>
        <rFont val="Arial"/>
        <family val="2"/>
      </rPr>
      <t>·</t>
    </r>
    <r>
      <rPr>
        <b/>
        <sz val="10"/>
        <color rgb="FF1F2A44"/>
        <rFont val="Noto Sans CJK SC"/>
        <family val="2"/>
      </rPr>
      <t>기여</t>
    </r>
    <r>
      <rPr>
        <b/>
        <sz val="10"/>
        <color rgb="FF1F2A44"/>
        <rFont val="Arial"/>
        <family val="2"/>
      </rPr>
      <t>)</t>
    </r>
  </si>
  <si>
    <r>
      <rPr>
        <sz val="10"/>
        <color rgb="FF000000"/>
        <rFont val="Noto Sans CJK SC"/>
        <family val="2"/>
      </rPr>
      <t xml:space="preserve">고객 </t>
    </r>
    <r>
      <rPr>
        <sz val="10"/>
        <color rgb="FF000000"/>
        <rFont val="Arial"/>
        <family val="2"/>
      </rPr>
      <t xml:space="preserve">DB </t>
    </r>
    <r>
      <rPr>
        <sz val="10"/>
        <color rgb="FF000000"/>
        <rFont val="Noto Sans CJK SC"/>
        <family val="2"/>
      </rPr>
      <t xml:space="preserve">분석 기반 </t>
    </r>
    <r>
      <rPr>
        <sz val="10"/>
        <color rgb="FF000000"/>
        <rFont val="Arial"/>
        <family val="2"/>
      </rPr>
      <t>1</t>
    </r>
    <r>
      <rPr>
        <sz val="10"/>
        <color rgb="FF000000"/>
        <rFont val="Noto Sans CJK SC"/>
        <family val="2"/>
      </rPr>
      <t xml:space="preserve">차 인사이트 리포트 작성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세그먼트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페인포인트 등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</si>
  <si>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SC"/>
        <family val="2"/>
      </rPr>
      <t xml:space="preserve">상담회 </t>
    </r>
    <r>
      <rPr>
        <sz val="10"/>
        <color rgb="FF000000"/>
        <rFont val="Arial"/>
        <family val="2"/>
      </rPr>
      <t>1</t>
    </r>
    <r>
      <rPr>
        <sz val="10"/>
        <color rgb="FF000000"/>
        <rFont val="Noto Sans CJK SC"/>
        <family val="2"/>
      </rPr>
      <t>회 이상 사전 모객현황 파악부터 성향분석까지 독자적으로 수행</t>
    </r>
  </si>
  <si>
    <r>
      <rPr>
        <sz val="10"/>
        <color rgb="FF000000"/>
        <rFont val="Noto Sans CJK SC"/>
        <family val="2"/>
      </rPr>
      <t xml:space="preserve">상담회 당일 화상상담 운영 실무 주도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 xml:space="preserve">최소 </t>
    </r>
    <r>
      <rPr>
        <sz val="10"/>
        <color rgb="FF000000"/>
        <rFont val="Arial"/>
        <family val="2"/>
      </rPr>
      <t>1</t>
    </r>
    <r>
      <rPr>
        <sz val="10"/>
        <color rgb="FF000000"/>
        <rFont val="Noto Sans CJK SC"/>
        <family val="2"/>
      </rPr>
      <t>회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</si>
  <si>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SC"/>
        <family val="2"/>
      </rPr>
      <t xml:space="preserve">일본 협력업체와의 협업 건 </t>
    </r>
    <r>
      <rPr>
        <sz val="10"/>
        <color rgb="FF000000"/>
        <rFont val="Arial"/>
        <family val="2"/>
      </rPr>
      <t>1</t>
    </r>
    <r>
      <rPr>
        <sz val="10"/>
        <color rgb="FF000000"/>
        <rFont val="Noto Sans CJK SC"/>
        <family val="2"/>
      </rPr>
      <t>건 이상 단독 조율 진행</t>
    </r>
  </si>
  <si>
    <r>
      <rPr>
        <b/>
        <sz val="10"/>
        <color rgb="FF1F2A44"/>
        <rFont val="Arial"/>
        <family val="2"/>
      </rPr>
      <t>3</t>
    </r>
    <r>
      <rPr>
        <b/>
        <sz val="10"/>
        <color rgb="FF1F2A44"/>
        <rFont val="Noto Sans CJK SC"/>
        <family val="2"/>
      </rPr>
      <t xml:space="preserve">개월차
</t>
    </r>
    <r>
      <rPr>
        <b/>
        <sz val="10"/>
        <color rgb="FF1F2A44"/>
        <rFont val="Arial"/>
        <family val="2"/>
      </rPr>
      <t>(</t>
    </r>
    <r>
      <rPr>
        <b/>
        <sz val="10"/>
        <color rgb="FF1F2A44"/>
        <rFont val="Noto Sans CJK SC"/>
        <family val="2"/>
      </rPr>
      <t>안착</t>
    </r>
    <r>
      <rPr>
        <b/>
        <sz val="10"/>
        <color rgb="FF1F2A44"/>
        <rFont val="Arial"/>
        <family val="2"/>
      </rPr>
      <t>·</t>
    </r>
    <r>
      <rPr>
        <b/>
        <sz val="10"/>
        <color rgb="FF1F2A44"/>
        <rFont val="Noto Sans CJK SC"/>
        <family val="2"/>
      </rPr>
      <t>제안</t>
    </r>
    <r>
      <rPr>
        <b/>
        <sz val="10"/>
        <color rgb="FF1F2A44"/>
        <rFont val="Arial"/>
        <family val="2"/>
      </rPr>
      <t>)</t>
    </r>
  </si>
  <si>
    <r>
      <rPr>
        <sz val="10"/>
        <color rgb="FF000000"/>
        <rFont val="Noto Sans CJK SC"/>
        <family val="2"/>
      </rPr>
      <t xml:space="preserve">상담회 사후 고객 </t>
    </r>
    <r>
      <rPr>
        <sz val="10"/>
        <color rgb="FF000000"/>
        <rFont val="Arial"/>
        <family val="2"/>
      </rPr>
      <t xml:space="preserve">DB </t>
    </r>
    <r>
      <rPr>
        <sz val="10"/>
        <color rgb="FF000000"/>
        <rFont val="Noto Sans CJK SC"/>
        <family val="2"/>
      </rPr>
      <t>관리 체계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후속 컨택 프로세스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Noto Sans CJK SC"/>
        <family val="2"/>
      </rPr>
      <t>초안 수립</t>
    </r>
  </si>
  <si>
    <r>
      <rPr>
        <sz val="10"/>
        <color rgb="FF000000"/>
        <rFont val="Noto Sans CJK SC"/>
        <family val="2"/>
      </rPr>
      <t>운영팀 업무 매뉴얼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가이드라인 초안 작성</t>
    </r>
  </si>
  <si>
    <r>
      <rPr>
        <sz val="10"/>
        <color rgb="FF000000"/>
        <rFont val="Arial"/>
        <family val="2"/>
      </rPr>
      <t xml:space="preserve">CRM </t>
    </r>
    <r>
      <rPr>
        <sz val="10"/>
        <color rgb="FF000000"/>
        <rFont val="Noto Sans CJK SC"/>
        <family val="2"/>
      </rPr>
      <t>연계 마케팅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 xml:space="preserve">서비스기획 전략 제안서 </t>
    </r>
    <r>
      <rPr>
        <sz val="10"/>
        <color rgb="FF000000"/>
        <rFont val="Arial"/>
        <family val="2"/>
      </rPr>
      <t>1</t>
    </r>
    <r>
      <rPr>
        <sz val="10"/>
        <color rgb="FF000000"/>
        <rFont val="Noto Sans CJK SC"/>
        <family val="2"/>
      </rPr>
      <t>건 이상 작성</t>
    </r>
  </si>
  <si>
    <t>정규직 전환 면담을 위한 자기 성과 요약 및 향후 계획 제출</t>
  </si>
  <si>
    <t>피평가자</t>
  </si>
  <si>
    <t>평가 포지션</t>
  </si>
  <si>
    <r>
      <rPr>
        <sz val="10"/>
        <color rgb="FF000000"/>
        <rFont val="Noto Sans CJK SC"/>
        <family val="2"/>
      </rPr>
      <t xml:space="preserve">운영팀장 </t>
    </r>
    <r>
      <rPr>
        <sz val="10"/>
        <color rgb="FF000000"/>
        <rFont val="Arial"/>
        <family val="2"/>
      </rPr>
      <t>(Operations Team Lead)</t>
    </r>
  </si>
  <si>
    <r>
      <rPr>
        <sz val="10"/>
        <color rgb="FF000000"/>
        <rFont val="Arial"/>
        <family val="2"/>
      </rPr>
      <t xml:space="preserve">( </t>
    </r>
    <r>
      <rPr>
        <sz val="10"/>
        <color rgb="FF000000"/>
        <rFont val="Noto Sans CJK SC"/>
        <family val="2"/>
      </rPr>
      <t xml:space="preserve">입사일 </t>
    </r>
    <r>
      <rPr>
        <sz val="10"/>
        <color rgb="FF000000"/>
        <rFont val="Arial"/>
        <family val="2"/>
      </rPr>
      <t xml:space="preserve">) ~ ( </t>
    </r>
    <r>
      <rPr>
        <sz val="10"/>
        <color rgb="FF000000"/>
        <rFont val="Noto Sans CJK SC"/>
        <family val="2"/>
      </rPr>
      <t>입사일</t>
    </r>
    <r>
      <rPr>
        <sz val="10"/>
        <color rgb="FF000000"/>
        <rFont val="Arial"/>
        <family val="2"/>
      </rPr>
      <t>+3</t>
    </r>
    <r>
      <rPr>
        <sz val="10"/>
        <color rgb="FF000000"/>
        <rFont val="Noto Sans CJK SC"/>
        <family val="2"/>
      </rPr>
      <t xml:space="preserve">개월 </t>
    </r>
    <r>
      <rPr>
        <sz val="10"/>
        <color rgb="FF000000"/>
        <rFont val="Arial"/>
        <family val="2"/>
      </rPr>
      <t>)</t>
    </r>
  </si>
  <si>
    <t>구분</t>
  </si>
  <si>
    <r>
      <rPr>
        <b/>
        <sz val="11"/>
        <color rgb="FFFFFFFF"/>
        <rFont val="Noto Sans CJK SC"/>
        <family val="2"/>
      </rPr>
      <t>환산점수</t>
    </r>
    <r>
      <rPr>
        <b/>
        <sz val="11"/>
        <color rgb="FFFFFFFF"/>
        <rFont val="Arial"/>
        <family val="2"/>
      </rPr>
      <t>(100</t>
    </r>
    <r>
      <rPr>
        <b/>
        <sz val="11"/>
        <color rgb="FFFFFFFF"/>
        <rFont val="Noto Sans CJK SC"/>
        <family val="2"/>
      </rPr>
      <t>점 만점 중</t>
    </r>
    <r>
      <rPr>
        <b/>
        <sz val="11"/>
        <color rgb="FFFFFFFF"/>
        <rFont val="Arial"/>
        <family val="2"/>
      </rPr>
      <t>)</t>
    </r>
  </si>
  <si>
    <r>
      <rPr>
        <sz val="10"/>
        <color rgb="FF000000"/>
        <rFont val="Noto Sans CJK SC"/>
        <family val="2"/>
      </rPr>
      <t xml:space="preserve">① 직무 전문성 </t>
    </r>
    <r>
      <rPr>
        <sz val="10"/>
        <color rgb="FF000000"/>
        <rFont val="Arial"/>
        <family val="2"/>
      </rPr>
      <t>(CRM·DB</t>
    </r>
    <r>
      <rPr>
        <sz val="10"/>
        <color rgb="FF000000"/>
        <rFont val="Noto Sans CJK SC"/>
        <family val="2"/>
      </rPr>
      <t>분석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상담회 운영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</si>
  <si>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SC"/>
        <family val="2"/>
      </rPr>
      <t xml:space="preserve">② 상담회 후속 및 고객 </t>
    </r>
    <r>
      <rPr>
        <sz val="10"/>
        <color rgb="FF000000"/>
        <rFont val="Arial"/>
        <family val="2"/>
      </rPr>
      <t xml:space="preserve">DB </t>
    </r>
    <r>
      <rPr>
        <sz val="10"/>
        <color rgb="FF000000"/>
        <rFont val="Noto Sans CJK SC"/>
        <family val="2"/>
      </rPr>
      <t>관리</t>
    </r>
  </si>
  <si>
    <r>
      <rPr>
        <sz val="10"/>
        <color rgb="FF000000"/>
        <rFont val="Noto Sans CJK SC"/>
        <family val="2"/>
      </rPr>
      <t xml:space="preserve">③ 대외협업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일본어 기반</t>
    </r>
    <r>
      <rPr>
        <sz val="10"/>
        <color rgb="FF000000"/>
        <rFont val="Arial"/>
        <family val="2"/>
      </rPr>
      <t>)</t>
    </r>
  </si>
  <si>
    <t>④ 리더십 및 조직관리</t>
  </si>
  <si>
    <t>⑤ 조직적응 및 근무태도</t>
  </si>
  <si>
    <r>
      <rPr>
        <b/>
        <sz val="11"/>
        <color rgb="FFFFFFFF"/>
        <rFont val="Noto Sans CJK SC"/>
        <family val="2"/>
      </rPr>
      <t xml:space="preserve">최종 종합점수 </t>
    </r>
    <r>
      <rPr>
        <b/>
        <sz val="11"/>
        <color rgb="FFFFFFFF"/>
        <rFont val="Arial"/>
        <family val="2"/>
      </rPr>
      <t>(100</t>
    </r>
    <r>
      <rPr>
        <b/>
        <sz val="11"/>
        <color rgb="FFFFFFFF"/>
        <rFont val="Noto Sans CJK SC"/>
        <family val="2"/>
      </rPr>
      <t>점 만점</t>
    </r>
    <r>
      <rPr>
        <b/>
        <sz val="11"/>
        <color rgb="FFFFFFFF"/>
        <rFont val="Arial"/>
        <family val="2"/>
      </rPr>
      <t>)</t>
    </r>
  </si>
  <si>
    <r>
      <rPr>
        <b/>
        <sz val="10"/>
        <color rgb="FF1F2A44"/>
        <rFont val="Noto Sans CJK SC"/>
        <family val="2"/>
      </rPr>
      <t xml:space="preserve">정규직 전환 판정 </t>
    </r>
    <r>
      <rPr>
        <b/>
        <sz val="10"/>
        <color rgb="FF1F2A44"/>
        <rFont val="Arial"/>
        <family val="2"/>
      </rPr>
      <t>(</t>
    </r>
    <r>
      <rPr>
        <b/>
        <sz val="10"/>
        <color rgb="FF1F2A44"/>
        <rFont val="Noto Sans CJK SC"/>
        <family val="2"/>
      </rPr>
      <t>참고</t>
    </r>
    <r>
      <rPr>
        <b/>
        <sz val="10"/>
        <color rgb="FF1F2A44"/>
        <rFont val="Arial"/>
        <family val="2"/>
      </rPr>
      <t>)</t>
    </r>
  </si>
  <si>
    <r>
      <rPr>
        <b/>
        <sz val="11"/>
        <color rgb="FFFF6F59"/>
        <rFont val="Noto Sans CJK SC"/>
        <family val="2"/>
      </rPr>
      <t xml:space="preserve">■ 종합 의견 </t>
    </r>
    <r>
      <rPr>
        <b/>
        <sz val="11"/>
        <color rgb="FFFF6F59"/>
        <rFont val="Arial"/>
        <family val="2"/>
      </rPr>
      <t>(</t>
    </r>
    <r>
      <rPr>
        <b/>
        <sz val="11"/>
        <color rgb="FFFF6F59"/>
        <rFont val="Noto Sans CJK SC"/>
        <family val="2"/>
      </rPr>
      <t>평가자 작성</t>
    </r>
    <r>
      <rPr>
        <b/>
        <sz val="11"/>
        <color rgb="FFFF6F59"/>
        <rFont val="Arial"/>
        <family val="2"/>
      </rPr>
      <t>)</t>
    </r>
  </si>
  <si>
    <t>평가자 서명</t>
  </si>
  <si>
    <r>
      <t xml:space="preserve">① 직무 전문성 </t>
    </r>
    <r>
      <rPr>
        <b/>
        <sz val="12"/>
        <color rgb="FF1F2A44"/>
        <rFont val="Arial"/>
        <family val="2"/>
      </rPr>
      <t xml:space="preserve">CRM·DB </t>
    </r>
    <r>
      <rPr>
        <b/>
        <sz val="12"/>
        <color rgb="FF1F2A44"/>
        <rFont val="Noto Sans CJK SC"/>
        <family val="2"/>
      </rPr>
      <t xml:space="preserve">분석 및 상담회 운영
</t>
    </r>
    <r>
      <rPr>
        <b/>
        <sz val="12"/>
        <color rgb="FF1F2A44"/>
        <rFont val="Arial"/>
        <family val="2"/>
      </rPr>
      <t>(</t>
    </r>
    <r>
      <rPr>
        <b/>
        <sz val="12"/>
        <color rgb="FF1F2A44"/>
        <rFont val="Noto Sans CJK SC"/>
        <family val="2"/>
      </rPr>
      <t xml:space="preserve">가중치 </t>
    </r>
    <r>
      <rPr>
        <b/>
        <sz val="12"/>
        <color rgb="FF1F2A44"/>
        <rFont val="Arial"/>
        <family val="2"/>
      </rPr>
      <t>35%)</t>
    </r>
    <phoneticPr fontId="23" type="noConversion"/>
  </si>
  <si>
    <r>
      <t xml:space="preserve">② 상담회 후속 및 고객 </t>
    </r>
    <r>
      <rPr>
        <b/>
        <sz val="12"/>
        <color rgb="FF1F2A44"/>
        <rFont val="Arial"/>
        <family val="2"/>
      </rPr>
      <t xml:space="preserve">DB </t>
    </r>
    <r>
      <rPr>
        <b/>
        <sz val="12"/>
        <color rgb="FF1F2A44"/>
        <rFont val="Noto Sans CJK SC"/>
        <family val="2"/>
      </rPr>
      <t xml:space="preserve">관리
</t>
    </r>
    <r>
      <rPr>
        <b/>
        <sz val="12"/>
        <color rgb="FF1F2A44"/>
        <rFont val="Arial"/>
        <family val="2"/>
      </rPr>
      <t>(</t>
    </r>
    <r>
      <rPr>
        <b/>
        <sz val="12"/>
        <color rgb="FF1F2A44"/>
        <rFont val="Noto Sans CJK SC"/>
        <family val="2"/>
      </rPr>
      <t xml:space="preserve">가중치 </t>
    </r>
    <r>
      <rPr>
        <b/>
        <sz val="12"/>
        <color rgb="FF1F2A44"/>
        <rFont val="Arial"/>
        <family val="2"/>
      </rPr>
      <t>15%)</t>
    </r>
    <phoneticPr fontId="23" type="noConversion"/>
  </si>
  <si>
    <r>
      <t>④ 리더십 및 조직관리</t>
    </r>
    <r>
      <rPr>
        <b/>
        <sz val="12"/>
        <color rgb="FF1F2A44"/>
        <rFont val="Arial"/>
        <family val="2"/>
      </rPr>
      <t>(</t>
    </r>
    <r>
      <rPr>
        <b/>
        <sz val="12"/>
        <color rgb="FF1F2A44"/>
        <rFont val="Noto Sans CJK SC"/>
        <family val="2"/>
      </rPr>
      <t>팀장급</t>
    </r>
    <r>
      <rPr>
        <b/>
        <sz val="12"/>
        <color rgb="FF1F2A44"/>
        <rFont val="Arial"/>
        <family val="2"/>
      </rPr>
      <t>)
(</t>
    </r>
    <r>
      <rPr>
        <b/>
        <sz val="12"/>
        <color rgb="FF1F2A44"/>
        <rFont val="Noto Sans CJK SC"/>
        <family val="2"/>
      </rPr>
      <t xml:space="preserve">가중치 </t>
    </r>
    <r>
      <rPr>
        <b/>
        <sz val="12"/>
        <color rgb="FF1F2A44"/>
        <rFont val="Arial"/>
        <family val="2"/>
      </rPr>
      <t>15%)</t>
    </r>
    <phoneticPr fontId="23" type="noConversion"/>
  </si>
  <si>
    <r>
      <t xml:space="preserve">⑤ 조직적응 및 근무태도
</t>
    </r>
    <r>
      <rPr>
        <b/>
        <sz val="12"/>
        <color rgb="FF1F2A44"/>
        <rFont val="Arial"/>
        <family val="2"/>
      </rPr>
      <t>(</t>
    </r>
    <r>
      <rPr>
        <b/>
        <sz val="12"/>
        <color rgb="FF1F2A44"/>
        <rFont val="Noto Sans CJK SC"/>
        <family val="2"/>
      </rPr>
      <t xml:space="preserve">가중치 </t>
    </r>
    <r>
      <rPr>
        <b/>
        <sz val="12"/>
        <color rgb="FF1F2A44"/>
        <rFont val="Arial"/>
        <family val="2"/>
      </rPr>
      <t>15%)</t>
    </r>
    <phoneticPr fontId="23" type="noConversion"/>
  </si>
  <si>
    <r>
      <t>③ 대외협업_ 일본어 기반</t>
    </r>
    <r>
      <rPr>
        <b/>
        <sz val="12"/>
        <color rgb="FF1F2A44"/>
        <rFont val="Arial"/>
        <family val="2"/>
      </rPr>
      <t xml:space="preserve">
(</t>
    </r>
    <r>
      <rPr>
        <b/>
        <sz val="12"/>
        <color rgb="FF1F2A44"/>
        <rFont val="Noto Sans CJK SC"/>
        <family val="2"/>
      </rPr>
      <t xml:space="preserve">가중치 </t>
    </r>
    <r>
      <rPr>
        <b/>
        <sz val="12"/>
        <color rgb="FF1F2A44"/>
        <rFont val="Arial"/>
        <family val="2"/>
      </rPr>
      <t>20%)</t>
    </r>
    <phoneticPr fontId="23" type="noConversion"/>
  </si>
  <si>
    <t>수습기간 종합평가 결과</t>
    <phoneticPr fontId="23" type="noConversion"/>
  </si>
  <si>
    <r>
      <rPr>
        <b/>
        <sz val="14"/>
        <color rgb="FF1F2A44"/>
        <rFont val="Malgun Gothic"/>
        <family val="2"/>
        <charset val="129"/>
      </rPr>
      <t>메디힘</t>
    </r>
    <r>
      <rPr>
        <b/>
        <sz val="14"/>
        <color rgb="FF1F2A44"/>
        <rFont val="Arial"/>
        <family val="2"/>
      </rPr>
      <t xml:space="preserve"> </t>
    </r>
    <r>
      <rPr>
        <b/>
        <sz val="14"/>
        <color rgb="FF1F2A44"/>
        <rFont val="Noto Sans CJK SC"/>
        <family val="2"/>
      </rPr>
      <t>운영팀장</t>
    </r>
    <r>
      <rPr>
        <b/>
        <sz val="14"/>
        <color rgb="FF1F2A44"/>
        <rFont val="Arial"/>
        <family val="2"/>
      </rPr>
      <t>(</t>
    </r>
    <r>
      <rPr>
        <b/>
        <sz val="14"/>
        <color rgb="FF1F2A44"/>
        <rFont val="Noto Sans CJK SC"/>
        <family val="2"/>
      </rPr>
      <t>한상훈</t>
    </r>
    <r>
      <rPr>
        <b/>
        <sz val="14"/>
        <color rgb="FF1F2A44"/>
        <rFont val="Arial"/>
        <family val="2"/>
      </rPr>
      <t xml:space="preserve">) </t>
    </r>
    <r>
      <rPr>
        <b/>
        <sz val="14"/>
        <color rgb="FF1F2A44"/>
        <rFont val="Noto Sans CJK SC"/>
        <family val="2"/>
      </rPr>
      <t xml:space="preserve">수습기간 평가표 </t>
    </r>
    <r>
      <rPr>
        <b/>
        <sz val="14"/>
        <color rgb="FF1F2A44"/>
        <rFont val="Arial"/>
        <family val="2"/>
      </rPr>
      <t xml:space="preserve">- </t>
    </r>
    <r>
      <rPr>
        <b/>
        <sz val="14"/>
        <color rgb="FF1F2A44"/>
        <rFont val="Noto Sans CJK SC"/>
        <family val="2"/>
      </rPr>
      <t>직무 성과 및 역량 평가</t>
    </r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</si>
</sst>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8">
    <font>
      <sz val="11"/>
      <color theme="1"/>
      <name val="Calibri"/>
      <family val="2"/>
      <charset val="1"/>
    </font>
    <font>
      <b/>
      <sz val="16"/>
      <color rgb="FF1F2A44"/>
      <name val="Arial"/>
      <family val="2"/>
    </font>
    <font>
      <b/>
      <sz val="16"/>
      <color rgb="FF1F2A44"/>
      <name val="Noto Sans CJK SC"/>
      <family val="2"/>
    </font>
    <font>
      <i/>
      <sz val="11"/>
      <color rgb="FF3A4A6B"/>
      <name val="Noto Sans CJK SC"/>
      <family val="2"/>
    </font>
    <font>
      <i/>
      <sz val="11"/>
      <color rgb="FF3A4A6B"/>
      <name val="Arial"/>
      <family val="2"/>
    </font>
    <font>
      <b/>
      <sz val="10"/>
      <color rgb="FF1F2A44"/>
      <name val="Noto Sans CJK SC"/>
      <family val="2"/>
    </font>
    <font>
      <sz val="10"/>
      <color rgb="FF000000"/>
      <name val="Noto Sans CJK SC"/>
      <family val="2"/>
    </font>
    <font>
      <b/>
      <sz val="10"/>
      <color rgb="FF1F2A44"/>
      <name val="Arial"/>
      <family val="2"/>
    </font>
    <font>
      <sz val="10"/>
      <color rgb="FF000000"/>
      <name val="Arial"/>
      <family val="2"/>
    </font>
    <font>
      <b/>
      <sz val="12"/>
      <color rgb="FFFF6F59"/>
      <name val="Noto Sans CJK SC"/>
      <family val="2"/>
    </font>
    <font>
      <b/>
      <sz val="12"/>
      <color rgb="FFFF6F59"/>
      <name val="Arial"/>
      <family val="2"/>
    </font>
    <font>
      <b/>
      <sz val="11"/>
      <color rgb="FFFFFFFF"/>
      <name val="Noto Sans CJK SC"/>
      <family val="2"/>
    </font>
    <font>
      <b/>
      <sz val="10"/>
      <color rgb="FF000000"/>
      <name val="Arial"/>
      <family val="2"/>
    </font>
    <font>
      <b/>
      <sz val="10"/>
      <color rgb="FF000000"/>
      <name val="Noto Sans CJK SC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4"/>
      <color rgb="FF1F2A44"/>
      <name val="Arial"/>
      <family val="2"/>
    </font>
    <font>
      <b/>
      <sz val="14"/>
      <color rgb="FF1F2A44"/>
      <name val="Noto Sans CJK SC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3"/>
      <color rgb="FFFFFFFF"/>
      <name val="Arial"/>
      <family val="2"/>
    </font>
    <font>
      <b/>
      <sz val="11"/>
      <color rgb="FFFF6F59"/>
      <name val="Noto Sans CJK SC"/>
      <family val="2"/>
    </font>
    <font>
      <b/>
      <sz val="11"/>
      <color rgb="FFFF6F59"/>
      <name val="Arial"/>
      <family val="2"/>
    </font>
    <font>
      <sz val="8"/>
      <name val="나눔명조"/>
      <family val="3"/>
      <charset val="129"/>
    </font>
    <font>
      <b/>
      <sz val="12"/>
      <color rgb="FF1F2A44"/>
      <name val="Noto Sans CJK SC"/>
      <family val="2"/>
    </font>
    <font>
      <b/>
      <sz val="12"/>
      <color rgb="FF1F2A44"/>
      <name val="Arial"/>
      <family val="2"/>
    </font>
    <font>
      <b/>
      <sz val="14"/>
      <color rgb="FF1F2A44"/>
      <name val="Malgun Gothic"/>
      <family val="2"/>
      <charset val="129"/>
    </font>
    <font>
      <b/>
      <sz val="14"/>
      <color rgb="FF1F2A44"/>
      <name val="Arial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6D6"/>
      </patternFill>
    </fill>
    <fill>
      <patternFill patternType="solid">
        <fgColor rgb="FF3A4A6B"/>
        <bgColor rgb="FF1F2A44"/>
      </patternFill>
    </fill>
    <fill>
      <patternFill patternType="solid">
        <fgColor rgb="FF1F2A44"/>
        <bgColor rgb="FF003366"/>
      </patternFill>
    </fill>
    <fill>
      <patternFill patternType="solid">
        <fgColor rgb="FFFFF6D6"/>
        <bgColor rgb="FFF2F2F2"/>
      </patternFill>
    </fill>
    <fill>
      <patternFill patternType="solid">
        <fgColor rgb="FFFF6F59"/>
        <bgColor rgb="FFFF6600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7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9" fontId="18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2" fontId="19" fillId="6" borderId="1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2" borderId="9" xfId="0" applyFont="1" applyFill="1" applyBorder="1" applyAlignment="1">
      <alignment horizontal="left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2" fontId="8" fillId="0" borderId="10" xfId="0" applyNumberFormat="1" applyFont="1" applyBorder="1" applyAlignment="1">
      <alignment horizontal="center" vertical="center" wrapText="1"/>
    </xf>
    <xf numFmtId="2" fontId="20" fillId="6" borderId="10" xfId="0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4" fillId="0" borderId="0" xfId="0" applyFont="1"/>
    <xf numFmtId="0" fontId="7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21" fillId="0" borderId="7" xfId="0" applyFont="1" applyBorder="1"/>
    <xf numFmtId="0" fontId="21" fillId="0" borderId="0" xfId="0" applyFont="1"/>
    <xf numFmtId="0" fontId="21" fillId="0" borderId="8" xfId="0" applyFont="1" applyBorder="1"/>
    <xf numFmtId="0" fontId="0" fillId="5" borderId="11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 wrapText="1"/>
    </xf>
    <xf numFmtId="0" fontId="8" fillId="5" borderId="14" xfId="0" applyFont="1" applyFill="1" applyBorder="1" applyAlignment="1">
      <alignment horizontal="left" vertical="center" wrapText="1"/>
    </xf>
    <xf numFmtId="0" fontId="8" fillId="5" borderId="15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2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D6"/>
      <rgbColor rgb="FFF2F2F2"/>
      <rgbColor rgb="FF660066"/>
      <rgbColor rgb="FFFF6F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A4A6B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K1"/>
    </sheetView>
  </sheetViews>
  <sheetFormatPr baseColWidth="10" defaultColWidth="8.6640625" defaultRowHeight="15"/>
  <cols>
    <col min="1" max="1" width="3" customWidth="1"/>
    <col min="2" max="2" width="44.83203125" customWidth="1"/>
    <col min="3" max="3" width="37.33203125" customWidth="1"/>
    <col min="4" max="4" width="113.1640625" customWidth="1"/>
    <col min="5" max="5" width="9" customWidth="1"/>
    <col min="6" max="8" width="20.83203125" customWidth="1"/>
    <col min="9" max="9" width="18.1640625" customWidth="1"/>
    <col min="10" max="10" width="20.6640625" customWidth="1"/>
    <col min="11" max="11" width="61.5" customWidth="1"/>
  </cols>
  <sheetData>
    <row r="1" spans="1:11" ht="24" customHeight="1">
      <c r="A1" s="57" t="s">
        <v>123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3" spans="1:11" ht="70" customHeight="1">
      <c r="A3" s="7"/>
      <c r="B3" s="8" t="s">
        <v>43</v>
      </c>
      <c r="C3" s="8" t="s">
        <v>44</v>
      </c>
      <c r="D3" s="8" t="s">
        <v>45</v>
      </c>
      <c r="E3" s="8" t="s">
        <v>46</v>
      </c>
      <c r="F3" s="7" t="s">
        <v>47</v>
      </c>
      <c r="G3" s="7" t="s">
        <v>48</v>
      </c>
      <c r="H3" s="7" t="s">
        <v>49</v>
      </c>
      <c r="I3" s="8" t="s">
        <v>50</v>
      </c>
      <c r="J3" s="8" t="s">
        <v>51</v>
      </c>
      <c r="K3" s="8" t="s">
        <v>52</v>
      </c>
    </row>
    <row r="4" spans="1:11" ht="45.75" customHeight="1">
      <c r="A4" s="5">
        <v>1</v>
      </c>
      <c r="B4" s="29" t="s">
        <v>117</v>
      </c>
      <c r="C4" s="9" t="s">
        <v>53</v>
      </c>
      <c r="D4" s="6" t="s">
        <v>54</v>
      </c>
      <c r="E4" s="10">
        <v>7.0000000000000007E-2</v>
      </c>
      <c r="F4" s="11"/>
      <c r="G4" s="11"/>
      <c r="H4" s="11"/>
      <c r="I4" s="12">
        <f t="shared" ref="I4:I17" si="0">IFERROR(AVERAGE(F4:H4),0)</f>
        <v>0</v>
      </c>
      <c r="J4" s="13">
        <f t="shared" ref="J4:J17" si="1">IFERROR(I4/5*E4*100,0)</f>
        <v>0</v>
      </c>
      <c r="K4" s="14"/>
    </row>
    <row r="5" spans="1:11" ht="45.75" customHeight="1">
      <c r="A5" s="5">
        <v>2</v>
      </c>
      <c r="B5" s="29"/>
      <c r="C5" s="15" t="s">
        <v>55</v>
      </c>
      <c r="D5" s="6" t="s">
        <v>56</v>
      </c>
      <c r="E5" s="10">
        <v>7.0000000000000007E-2</v>
      </c>
      <c r="F5" s="11"/>
      <c r="G5" s="11"/>
      <c r="H5" s="11"/>
      <c r="I5" s="12">
        <f t="shared" si="0"/>
        <v>0</v>
      </c>
      <c r="J5" s="13">
        <f t="shared" si="1"/>
        <v>0</v>
      </c>
      <c r="K5" s="14"/>
    </row>
    <row r="6" spans="1:11" ht="45.75" customHeight="1">
      <c r="A6" s="5">
        <v>3</v>
      </c>
      <c r="B6" s="29"/>
      <c r="C6" s="15" t="s">
        <v>57</v>
      </c>
      <c r="D6" s="6" t="s">
        <v>58</v>
      </c>
      <c r="E6" s="10">
        <v>7.0000000000000007E-2</v>
      </c>
      <c r="F6" s="11"/>
      <c r="G6" s="11"/>
      <c r="H6" s="11"/>
      <c r="I6" s="12">
        <f t="shared" si="0"/>
        <v>0</v>
      </c>
      <c r="J6" s="13">
        <f t="shared" si="1"/>
        <v>0</v>
      </c>
      <c r="K6" s="14"/>
    </row>
    <row r="7" spans="1:11" ht="45.75" customHeight="1">
      <c r="A7" s="5">
        <v>4</v>
      </c>
      <c r="B7" s="29"/>
      <c r="C7" s="15" t="s">
        <v>59</v>
      </c>
      <c r="D7" s="6" t="s">
        <v>60</v>
      </c>
      <c r="E7" s="10">
        <v>7.0000000000000007E-2</v>
      </c>
      <c r="F7" s="11"/>
      <c r="G7" s="11"/>
      <c r="H7" s="11"/>
      <c r="I7" s="12">
        <f t="shared" si="0"/>
        <v>0</v>
      </c>
      <c r="J7" s="13">
        <f t="shared" si="1"/>
        <v>0</v>
      </c>
      <c r="K7" s="14"/>
    </row>
    <row r="8" spans="1:11" ht="45.75" customHeight="1">
      <c r="A8" s="5">
        <v>5</v>
      </c>
      <c r="B8" s="29"/>
      <c r="C8" s="15" t="s">
        <v>61</v>
      </c>
      <c r="D8" s="6" t="s">
        <v>62</v>
      </c>
      <c r="E8" s="10">
        <v>7.0000000000000007E-2</v>
      </c>
      <c r="F8" s="11"/>
      <c r="G8" s="11"/>
      <c r="H8" s="11"/>
      <c r="I8" s="12">
        <f t="shared" si="0"/>
        <v>0</v>
      </c>
      <c r="J8" s="13">
        <f t="shared" si="1"/>
        <v>0</v>
      </c>
      <c r="K8" s="14"/>
    </row>
    <row r="9" spans="1:11" ht="45.75" customHeight="1">
      <c r="A9" s="5">
        <v>6</v>
      </c>
      <c r="B9" s="29" t="s">
        <v>118</v>
      </c>
      <c r="C9" s="15" t="s">
        <v>63</v>
      </c>
      <c r="D9" s="6" t="s">
        <v>64</v>
      </c>
      <c r="E9" s="10">
        <v>0.08</v>
      </c>
      <c r="F9" s="11"/>
      <c r="G9" s="11"/>
      <c r="H9" s="11"/>
      <c r="I9" s="12">
        <f t="shared" si="0"/>
        <v>0</v>
      </c>
      <c r="J9" s="13">
        <f t="shared" si="1"/>
        <v>0</v>
      </c>
      <c r="K9" s="14"/>
    </row>
    <row r="10" spans="1:11" ht="45.75" customHeight="1">
      <c r="A10" s="5">
        <v>7</v>
      </c>
      <c r="B10" s="29"/>
      <c r="C10" s="15" t="s">
        <v>65</v>
      </c>
      <c r="D10" s="6" t="s">
        <v>66</v>
      </c>
      <c r="E10" s="10">
        <v>7.0000000000000007E-2</v>
      </c>
      <c r="F10" s="11"/>
      <c r="G10" s="11"/>
      <c r="H10" s="11"/>
      <c r="I10" s="12">
        <f t="shared" si="0"/>
        <v>0</v>
      </c>
      <c r="J10" s="13">
        <f t="shared" si="1"/>
        <v>0</v>
      </c>
      <c r="K10" s="14"/>
    </row>
    <row r="11" spans="1:11" ht="45.75" customHeight="1">
      <c r="A11" s="5">
        <v>8</v>
      </c>
      <c r="B11" s="29" t="s">
        <v>121</v>
      </c>
      <c r="C11" s="15" t="s">
        <v>67</v>
      </c>
      <c r="D11" s="6" t="s">
        <v>68</v>
      </c>
      <c r="E11" s="10">
        <v>0.1</v>
      </c>
      <c r="F11" s="11"/>
      <c r="G11" s="11"/>
      <c r="H11" s="11"/>
      <c r="I11" s="12">
        <f t="shared" si="0"/>
        <v>0</v>
      </c>
      <c r="J11" s="13">
        <f t="shared" si="1"/>
        <v>0</v>
      </c>
      <c r="K11" s="14"/>
    </row>
    <row r="12" spans="1:11" ht="45.75" customHeight="1">
      <c r="A12" s="5">
        <v>9</v>
      </c>
      <c r="B12" s="29"/>
      <c r="C12" s="15" t="s">
        <v>69</v>
      </c>
      <c r="D12" s="6" t="s">
        <v>70</v>
      </c>
      <c r="E12" s="10">
        <v>0.1</v>
      </c>
      <c r="F12" s="11"/>
      <c r="G12" s="11"/>
      <c r="H12" s="11"/>
      <c r="I12" s="12">
        <f t="shared" si="0"/>
        <v>0</v>
      </c>
      <c r="J12" s="13">
        <f t="shared" si="1"/>
        <v>0</v>
      </c>
      <c r="K12" s="14"/>
    </row>
    <row r="13" spans="1:11" ht="45.75" customHeight="1">
      <c r="A13" s="5">
        <v>10</v>
      </c>
      <c r="B13" s="29" t="s">
        <v>119</v>
      </c>
      <c r="C13" s="15" t="s">
        <v>71</v>
      </c>
      <c r="D13" s="6" t="s">
        <v>72</v>
      </c>
      <c r="E13" s="10">
        <v>0.08</v>
      </c>
      <c r="F13" s="11"/>
      <c r="G13" s="11"/>
      <c r="H13" s="11"/>
      <c r="I13" s="12">
        <f t="shared" si="0"/>
        <v>0</v>
      </c>
      <c r="J13" s="13">
        <f t="shared" si="1"/>
        <v>0</v>
      </c>
      <c r="K13" s="14"/>
    </row>
    <row r="14" spans="1:11" ht="45.75" customHeight="1">
      <c r="A14" s="5">
        <v>11</v>
      </c>
      <c r="B14" s="29"/>
      <c r="C14" s="15" t="s">
        <v>73</v>
      </c>
      <c r="D14" s="6" t="s">
        <v>74</v>
      </c>
      <c r="E14" s="10">
        <v>7.0000000000000007E-2</v>
      </c>
      <c r="F14" s="11"/>
      <c r="G14" s="11"/>
      <c r="H14" s="11"/>
      <c r="I14" s="12">
        <f t="shared" si="0"/>
        <v>0</v>
      </c>
      <c r="J14" s="13">
        <f t="shared" si="1"/>
        <v>0</v>
      </c>
      <c r="K14" s="14"/>
    </row>
    <row r="15" spans="1:11" ht="45.75" customHeight="1">
      <c r="A15" s="5">
        <v>12</v>
      </c>
      <c r="B15" s="29" t="s">
        <v>120</v>
      </c>
      <c r="C15" s="15" t="s">
        <v>75</v>
      </c>
      <c r="D15" s="16" t="s">
        <v>76</v>
      </c>
      <c r="E15" s="10">
        <v>0.05</v>
      </c>
      <c r="F15" s="11"/>
      <c r="G15" s="11"/>
      <c r="H15" s="11"/>
      <c r="I15" s="12">
        <f t="shared" si="0"/>
        <v>0</v>
      </c>
      <c r="J15" s="13">
        <f t="shared" si="1"/>
        <v>0</v>
      </c>
      <c r="K15" s="14"/>
    </row>
    <row r="16" spans="1:11" ht="45.75" customHeight="1">
      <c r="A16" s="5">
        <v>13</v>
      </c>
      <c r="B16" s="29"/>
      <c r="C16" s="15" t="s">
        <v>77</v>
      </c>
      <c r="D16" s="6" t="s">
        <v>78</v>
      </c>
      <c r="E16" s="10">
        <v>0.05</v>
      </c>
      <c r="F16" s="11"/>
      <c r="G16" s="11"/>
      <c r="H16" s="11"/>
      <c r="I16" s="12">
        <f t="shared" si="0"/>
        <v>0</v>
      </c>
      <c r="J16" s="13">
        <f t="shared" si="1"/>
        <v>0</v>
      </c>
      <c r="K16" s="14"/>
    </row>
    <row r="17" spans="1:11" ht="45.75" customHeight="1">
      <c r="A17" s="5">
        <v>14</v>
      </c>
      <c r="B17" s="29"/>
      <c r="C17" s="15" t="s">
        <v>79</v>
      </c>
      <c r="D17" s="6" t="s">
        <v>80</v>
      </c>
      <c r="E17" s="10">
        <v>0.05</v>
      </c>
      <c r="F17" s="11"/>
      <c r="G17" s="11"/>
      <c r="H17" s="11"/>
      <c r="I17" s="12">
        <f t="shared" si="0"/>
        <v>0</v>
      </c>
      <c r="J17" s="13">
        <f t="shared" si="1"/>
        <v>0</v>
      </c>
      <c r="K17" s="14"/>
    </row>
    <row r="18" spans="1:11" ht="21.75" customHeight="1">
      <c r="A18" s="30" t="s">
        <v>81</v>
      </c>
      <c r="B18" s="30"/>
      <c r="C18" s="30"/>
      <c r="D18" s="30"/>
      <c r="E18" s="17">
        <f>SUM(E4:E17)</f>
        <v>1</v>
      </c>
      <c r="F18" s="18"/>
      <c r="G18" s="18"/>
      <c r="H18" s="18"/>
      <c r="I18" s="18"/>
      <c r="J18" s="19">
        <f>SUM(J4:J17)</f>
        <v>0</v>
      </c>
      <c r="K18" s="18"/>
    </row>
  </sheetData>
  <mergeCells count="7">
    <mergeCell ref="B15:B17"/>
    <mergeCell ref="A18:D18"/>
    <mergeCell ref="A1:K1"/>
    <mergeCell ref="B4:B8"/>
    <mergeCell ref="B9:B10"/>
    <mergeCell ref="B11:B12"/>
    <mergeCell ref="B13:B14"/>
  </mergeCells>
  <phoneticPr fontId="23" type="noConversion"/>
  <dataValidations count="1">
    <dataValidation type="whole" allowBlank="1" showErrorMessage="1" errorTitle="입력 오류" error="1~5 사이 정수로 입력해주세요." sqref="F4:H17" xr:uid="{00000000-0002-0000-01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zoomScaleNormal="100" workbookViewId="0">
      <selection activeCell="E22" sqref="E22"/>
    </sheetView>
  </sheetViews>
  <sheetFormatPr baseColWidth="10" defaultColWidth="8.6640625" defaultRowHeight="15"/>
  <cols>
    <col min="1" max="1" width="3" customWidth="1"/>
    <col min="2" max="2" width="19.33203125" customWidth="1"/>
    <col min="3" max="3" width="92.1640625" customWidth="1"/>
    <col min="4" max="4" width="12" customWidth="1"/>
    <col min="5" max="5" width="71.5" customWidth="1"/>
  </cols>
  <sheetData>
    <row r="1" spans="1:5" ht="24" customHeight="1">
      <c r="A1" s="32" t="s">
        <v>82</v>
      </c>
      <c r="B1" s="32"/>
      <c r="C1" s="32"/>
      <c r="D1" s="32"/>
      <c r="E1" s="32"/>
    </row>
    <row r="2" spans="1:5">
      <c r="A2" s="33" t="s">
        <v>83</v>
      </c>
      <c r="B2" s="33"/>
      <c r="C2" s="33"/>
      <c r="D2" s="33"/>
      <c r="E2" s="33"/>
    </row>
    <row r="4" spans="1:5" ht="65" customHeight="1">
      <c r="A4" s="8"/>
      <c r="B4" s="8" t="s">
        <v>84</v>
      </c>
      <c r="C4" s="8" t="s">
        <v>85</v>
      </c>
      <c r="D4" s="8" t="s">
        <v>86</v>
      </c>
      <c r="E4" s="8" t="s">
        <v>52</v>
      </c>
    </row>
    <row r="5" spans="1:5" ht="33.75" customHeight="1">
      <c r="A5" s="5">
        <v>1</v>
      </c>
      <c r="B5" s="34" t="s">
        <v>87</v>
      </c>
      <c r="C5" s="16" t="s">
        <v>88</v>
      </c>
      <c r="D5" s="11"/>
      <c r="E5" s="14"/>
    </row>
    <row r="6" spans="1:5" ht="33.75" customHeight="1">
      <c r="A6" s="5">
        <v>2</v>
      </c>
      <c r="B6" s="34"/>
      <c r="C6" s="6" t="s">
        <v>89</v>
      </c>
      <c r="D6" s="11"/>
      <c r="E6" s="14"/>
    </row>
    <row r="7" spans="1:5" ht="33.75" customHeight="1">
      <c r="A7" s="5">
        <v>3</v>
      </c>
      <c r="B7" s="34"/>
      <c r="C7" s="6" t="s">
        <v>90</v>
      </c>
      <c r="D7" s="11"/>
      <c r="E7" s="14"/>
    </row>
    <row r="8" spans="1:5" ht="33.75" customHeight="1">
      <c r="A8" s="5">
        <v>4</v>
      </c>
      <c r="B8" s="34"/>
      <c r="C8" s="6" t="s">
        <v>91</v>
      </c>
      <c r="D8" s="11"/>
      <c r="E8" s="14"/>
    </row>
    <row r="9" spans="1:5" ht="33.75" customHeight="1">
      <c r="A9" s="5">
        <v>5</v>
      </c>
      <c r="B9" s="34" t="s">
        <v>92</v>
      </c>
      <c r="C9" s="6" t="s">
        <v>93</v>
      </c>
      <c r="D9" s="11"/>
      <c r="E9" s="14"/>
    </row>
    <row r="10" spans="1:5" ht="33.75" customHeight="1">
      <c r="A10" s="5">
        <v>6</v>
      </c>
      <c r="B10" s="34"/>
      <c r="C10" s="6" t="s">
        <v>94</v>
      </c>
      <c r="D10" s="11"/>
      <c r="E10" s="14"/>
    </row>
    <row r="11" spans="1:5" ht="33.75" customHeight="1">
      <c r="A11" s="5">
        <v>7</v>
      </c>
      <c r="B11" s="34"/>
      <c r="C11" s="6" t="s">
        <v>95</v>
      </c>
      <c r="D11" s="11"/>
      <c r="E11" s="14"/>
    </row>
    <row r="12" spans="1:5" ht="33.75" customHeight="1">
      <c r="A12" s="5">
        <v>8</v>
      </c>
      <c r="B12" s="34"/>
      <c r="C12" s="6" t="s">
        <v>96</v>
      </c>
      <c r="D12" s="11"/>
      <c r="E12" s="14"/>
    </row>
    <row r="13" spans="1:5" ht="33.75" customHeight="1">
      <c r="A13" s="5">
        <v>9</v>
      </c>
      <c r="B13" s="34" t="s">
        <v>97</v>
      </c>
      <c r="C13" s="6" t="s">
        <v>98</v>
      </c>
      <c r="D13" s="11"/>
      <c r="E13" s="14"/>
    </row>
    <row r="14" spans="1:5" ht="33.75" customHeight="1">
      <c r="A14" s="5">
        <v>10</v>
      </c>
      <c r="B14" s="34"/>
      <c r="C14" s="6" t="s">
        <v>99</v>
      </c>
      <c r="D14" s="11"/>
      <c r="E14" s="14"/>
    </row>
    <row r="15" spans="1:5" ht="33.75" customHeight="1">
      <c r="A15" s="5">
        <v>11</v>
      </c>
      <c r="B15" s="34"/>
      <c r="C15" s="16" t="s">
        <v>100</v>
      </c>
      <c r="D15" s="11"/>
      <c r="E15" s="14"/>
    </row>
    <row r="16" spans="1:5" ht="33.75" customHeight="1">
      <c r="A16" s="5">
        <v>12</v>
      </c>
      <c r="B16" s="34"/>
      <c r="C16" s="6" t="s">
        <v>101</v>
      </c>
      <c r="D16" s="11"/>
      <c r="E16" s="14"/>
    </row>
  </sheetData>
  <mergeCells count="5">
    <mergeCell ref="A1:E1"/>
    <mergeCell ref="A2:E2"/>
    <mergeCell ref="B5:B8"/>
    <mergeCell ref="B9:B12"/>
    <mergeCell ref="B13:B16"/>
  </mergeCells>
  <phoneticPr fontId="23" type="noConversion"/>
  <dataValidations count="1">
    <dataValidation type="list" allowBlank="1" sqref="D5:D16" xr:uid="{00000000-0002-0000-0200-000000000000}">
      <formula1>"O,△,X"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showGridLines="0" zoomScaleNormal="100" workbookViewId="0">
      <selection activeCell="M10" sqref="M10"/>
    </sheetView>
  </sheetViews>
  <sheetFormatPr baseColWidth="10" defaultColWidth="8.6640625" defaultRowHeight="15"/>
  <cols>
    <col min="1" max="1" width="4" customWidth="1"/>
    <col min="2" max="2" width="50.33203125" customWidth="1"/>
    <col min="3" max="3" width="24" customWidth="1"/>
    <col min="4" max="4" width="40" customWidth="1"/>
  </cols>
  <sheetData>
    <row r="1" spans="1:4" ht="16" thickBot="1"/>
    <row r="2" spans="1:4" ht="44" customHeight="1">
      <c r="A2" s="1"/>
      <c r="B2" s="51" t="s">
        <v>122</v>
      </c>
      <c r="C2" s="52"/>
      <c r="D2" s="53"/>
    </row>
    <row r="3" spans="1:4" ht="32" customHeight="1">
      <c r="B3" s="20"/>
      <c r="D3" s="21"/>
    </row>
    <row r="4" spans="1:4" ht="30" customHeight="1">
      <c r="B4" s="22" t="s">
        <v>102</v>
      </c>
      <c r="C4" s="45" t="s">
        <v>3</v>
      </c>
      <c r="D4" s="46"/>
    </row>
    <row r="5" spans="1:4" ht="30" customHeight="1">
      <c r="B5" s="22" t="s">
        <v>103</v>
      </c>
      <c r="C5" s="45" t="s">
        <v>104</v>
      </c>
      <c r="D5" s="46"/>
    </row>
    <row r="6" spans="1:4" ht="30" customHeight="1">
      <c r="B6" s="22" t="s">
        <v>6</v>
      </c>
      <c r="C6" s="47" t="s">
        <v>105</v>
      </c>
      <c r="D6" s="48"/>
    </row>
    <row r="7" spans="1:4">
      <c r="B7" s="20"/>
      <c r="D7" s="21"/>
    </row>
    <row r="8" spans="1:4" ht="56" customHeight="1">
      <c r="B8" s="23" t="s">
        <v>106</v>
      </c>
      <c r="C8" s="8" t="s">
        <v>46</v>
      </c>
      <c r="D8" s="24" t="s">
        <v>107</v>
      </c>
    </row>
    <row r="9" spans="1:4" ht="40" customHeight="1">
      <c r="B9" s="25" t="s">
        <v>108</v>
      </c>
      <c r="C9" s="10">
        <f>수습평가표!E4+수습평가표!E5+수습평가표!E6+수습평가표!E7+수습평가표!E8</f>
        <v>0.35000000000000003</v>
      </c>
      <c r="D9" s="26">
        <f>수습평가표!J4+수습평가표!J5+수습평가표!J6+수습평가표!J7+수습평가표!J8</f>
        <v>0</v>
      </c>
    </row>
    <row r="10" spans="1:4" ht="40" customHeight="1">
      <c r="B10" s="25" t="s">
        <v>109</v>
      </c>
      <c r="C10" s="10">
        <f>수습평가표!E9+수습평가표!E10</f>
        <v>0.15000000000000002</v>
      </c>
      <c r="D10" s="26">
        <f>수습평가표!J9+수습평가표!J10</f>
        <v>0</v>
      </c>
    </row>
    <row r="11" spans="1:4" ht="40" customHeight="1">
      <c r="B11" s="25" t="s">
        <v>110</v>
      </c>
      <c r="C11" s="10">
        <f>수습평가표!E11+수습평가표!E12</f>
        <v>0.2</v>
      </c>
      <c r="D11" s="26">
        <f>수습평가표!J11+수습평가표!J12</f>
        <v>0</v>
      </c>
    </row>
    <row r="12" spans="1:4" ht="40" customHeight="1">
      <c r="B12" s="25" t="s">
        <v>111</v>
      </c>
      <c r="C12" s="10">
        <f>수습평가표!E13+수습평가표!E14</f>
        <v>0.15000000000000002</v>
      </c>
      <c r="D12" s="26">
        <f>수습평가표!J13+수습평가표!J14</f>
        <v>0</v>
      </c>
    </row>
    <row r="13" spans="1:4" ht="40" customHeight="1">
      <c r="B13" s="25" t="s">
        <v>112</v>
      </c>
      <c r="C13" s="10">
        <f>수습평가표!E15+수습평가표!E16+수습평가표!E17</f>
        <v>0.15000000000000002</v>
      </c>
      <c r="D13" s="26">
        <f>수습평가표!J15+수습평가표!J16+수습평가표!J17</f>
        <v>0</v>
      </c>
    </row>
    <row r="14" spans="1:4" ht="51" customHeight="1">
      <c r="B14" s="49" t="s">
        <v>113</v>
      </c>
      <c r="C14" s="50"/>
      <c r="D14" s="27">
        <f>수습평가표!J18</f>
        <v>0</v>
      </c>
    </row>
    <row r="15" spans="1:4" ht="30" customHeight="1">
      <c r="B15" s="22" t="s">
        <v>16</v>
      </c>
      <c r="C15" s="35" t="str">
        <f>IF(D14&gt;=90,"S (탁월)",IF(D14&gt;=80,"A (우수)",IF(D14&gt;=70,"B (보통)",IF(D14&gt;=60,"C (미흡)","D (저조)"))))</f>
        <v>D (저조)</v>
      </c>
      <c r="D15" s="36"/>
    </row>
    <row r="16" spans="1:4" ht="30" customHeight="1">
      <c r="B16" s="22" t="s">
        <v>114</v>
      </c>
      <c r="C16" s="35" t="str">
        <f>IF(D14&gt;=80,"정규직 전환",IF(D14&gt;=70,"조건부 전환 (보완계획 수립 후 전환)","전환 보류/재검토"))</f>
        <v>전환 보류/재검토</v>
      </c>
      <c r="D16" s="36"/>
    </row>
    <row r="17" spans="2:4">
      <c r="B17" s="20"/>
      <c r="D17" s="21"/>
    </row>
    <row r="18" spans="2:4">
      <c r="B18" s="37" t="s">
        <v>115</v>
      </c>
      <c r="C18" s="38"/>
      <c r="D18" s="39"/>
    </row>
    <row r="19" spans="2:4" ht="19.5" customHeight="1">
      <c r="B19" s="40"/>
      <c r="C19" s="41"/>
      <c r="D19" s="42"/>
    </row>
    <row r="20" spans="2:4" ht="19.5" customHeight="1">
      <c r="B20" s="40"/>
      <c r="C20" s="41"/>
      <c r="D20" s="42"/>
    </row>
    <row r="21" spans="2:4" ht="19.5" customHeight="1">
      <c r="B21" s="40"/>
      <c r="C21" s="41"/>
      <c r="D21" s="42"/>
    </row>
    <row r="22" spans="2:4" ht="19.5" customHeight="1">
      <c r="B22" s="40"/>
      <c r="C22" s="41"/>
      <c r="D22" s="42"/>
    </row>
    <row r="23" spans="2:4" ht="89" customHeight="1">
      <c r="B23" s="40"/>
      <c r="C23" s="41"/>
      <c r="D23" s="42"/>
    </row>
    <row r="24" spans="2:4">
      <c r="B24" s="20"/>
      <c r="D24" s="21"/>
    </row>
    <row r="25" spans="2:4" ht="63" customHeight="1" thickBot="1">
      <c r="B25" s="28" t="s">
        <v>116</v>
      </c>
      <c r="C25" s="43"/>
      <c r="D25" s="44"/>
    </row>
  </sheetData>
  <mergeCells count="10">
    <mergeCell ref="C4:D4"/>
    <mergeCell ref="C5:D5"/>
    <mergeCell ref="C6:D6"/>
    <mergeCell ref="B14:C14"/>
    <mergeCell ref="B2:D2"/>
    <mergeCell ref="C15:D15"/>
    <mergeCell ref="C16:D16"/>
    <mergeCell ref="B18:D18"/>
    <mergeCell ref="B19:D23"/>
    <mergeCell ref="C25:D25"/>
  </mergeCells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6"/>
  <sheetViews>
    <sheetView showGridLines="0" zoomScaleNormal="100" workbookViewId="0">
      <selection activeCell="H44" sqref="H44"/>
    </sheetView>
  </sheetViews>
  <sheetFormatPr baseColWidth="10" defaultColWidth="8.6640625" defaultRowHeight="15"/>
  <cols>
    <col min="1" max="1" width="4" customWidth="1"/>
    <col min="2" max="2" width="28" customWidth="1"/>
    <col min="3" max="3" width="60" customWidth="1"/>
    <col min="4" max="4" width="20" customWidth="1"/>
  </cols>
  <sheetData>
    <row r="2" spans="2:4" ht="21">
      <c r="B2" s="55" t="s">
        <v>0</v>
      </c>
      <c r="C2" s="55"/>
      <c r="D2" s="55"/>
    </row>
    <row r="3" spans="2:4">
      <c r="B3" s="56" t="s">
        <v>1</v>
      </c>
      <c r="C3" s="56"/>
      <c r="D3" s="56"/>
    </row>
    <row r="5" spans="2:4" ht="15" customHeight="1">
      <c r="B5" s="2" t="s">
        <v>2</v>
      </c>
      <c r="C5" s="45" t="s">
        <v>3</v>
      </c>
      <c r="D5" s="45"/>
    </row>
    <row r="6" spans="2:4" ht="15" customHeight="1">
      <c r="B6" s="2" t="s">
        <v>4</v>
      </c>
      <c r="C6" s="45" t="s">
        <v>5</v>
      </c>
      <c r="D6" s="45"/>
    </row>
    <row r="7" spans="2:4" ht="15" customHeight="1">
      <c r="B7" s="2" t="s">
        <v>6</v>
      </c>
      <c r="C7" s="45" t="s">
        <v>7</v>
      </c>
      <c r="D7" s="45"/>
    </row>
    <row r="8" spans="2:4" ht="15" customHeight="1">
      <c r="B8" s="2" t="s">
        <v>8</v>
      </c>
      <c r="C8" s="45" t="s">
        <v>9</v>
      </c>
      <c r="D8" s="45"/>
    </row>
    <row r="9" spans="2:4" ht="15" customHeight="1">
      <c r="B9" s="2" t="s">
        <v>10</v>
      </c>
      <c r="C9" s="47" t="s">
        <v>11</v>
      </c>
      <c r="D9" s="47"/>
    </row>
    <row r="10" spans="2:4" ht="15" customHeight="1">
      <c r="B10" s="2" t="s">
        <v>12</v>
      </c>
      <c r="C10" s="47" t="s">
        <v>13</v>
      </c>
      <c r="D10" s="47"/>
    </row>
    <row r="12" spans="2:4" ht="16">
      <c r="B12" s="54" t="s">
        <v>14</v>
      </c>
      <c r="C12" s="54"/>
      <c r="D12" s="54"/>
    </row>
    <row r="13" spans="2:4" ht="16">
      <c r="B13" s="3" t="s">
        <v>15</v>
      </c>
      <c r="C13" s="3" t="s">
        <v>16</v>
      </c>
      <c r="D13" s="3" t="s">
        <v>17</v>
      </c>
    </row>
    <row r="14" spans="2:4" ht="42">
      <c r="B14" s="4" t="s">
        <v>18</v>
      </c>
      <c r="C14" s="5" t="s">
        <v>19</v>
      </c>
      <c r="D14" s="6" t="s">
        <v>20</v>
      </c>
    </row>
    <row r="15" spans="2:4" ht="42">
      <c r="B15" s="4" t="s">
        <v>21</v>
      </c>
      <c r="C15" s="5" t="s">
        <v>22</v>
      </c>
      <c r="D15" s="6" t="s">
        <v>23</v>
      </c>
    </row>
    <row r="16" spans="2:4" ht="28">
      <c r="B16" s="4" t="s">
        <v>24</v>
      </c>
      <c r="C16" s="5" t="s">
        <v>25</v>
      </c>
      <c r="D16" s="6" t="s">
        <v>26</v>
      </c>
    </row>
    <row r="17" spans="2:4" ht="28">
      <c r="B17" s="4" t="s">
        <v>27</v>
      </c>
      <c r="C17" s="5" t="s">
        <v>28</v>
      </c>
      <c r="D17" s="6" t="s">
        <v>29</v>
      </c>
    </row>
    <row r="18" spans="2:4" ht="28">
      <c r="B18" s="4" t="s">
        <v>30</v>
      </c>
      <c r="C18" s="5" t="s">
        <v>31</v>
      </c>
      <c r="D18" s="6" t="s">
        <v>32</v>
      </c>
    </row>
    <row r="20" spans="2:4" ht="16">
      <c r="B20" s="54" t="s">
        <v>33</v>
      </c>
      <c r="C20" s="54"/>
      <c r="D20" s="54"/>
    </row>
    <row r="21" spans="2:4" ht="15" customHeight="1">
      <c r="B21" s="4" t="s">
        <v>34</v>
      </c>
      <c r="C21" s="45" t="s">
        <v>35</v>
      </c>
      <c r="D21" s="45"/>
    </row>
    <row r="22" spans="2:4" ht="15" customHeight="1">
      <c r="B22" s="4" t="s">
        <v>36</v>
      </c>
      <c r="C22" s="45" t="s">
        <v>37</v>
      </c>
      <c r="D22" s="45"/>
    </row>
    <row r="23" spans="2:4" ht="15" customHeight="1">
      <c r="B23" s="4" t="s">
        <v>38</v>
      </c>
      <c r="C23" s="45" t="s">
        <v>39</v>
      </c>
      <c r="D23" s="45"/>
    </row>
    <row r="24" spans="2:4" ht="15" customHeight="1">
      <c r="B24" s="4" t="s">
        <v>40</v>
      </c>
      <c r="C24" s="45" t="s">
        <v>41</v>
      </c>
      <c r="D24" s="45"/>
    </row>
    <row r="26" spans="2:4">
      <c r="B26" s="33" t="s">
        <v>42</v>
      </c>
      <c r="C26" s="33"/>
      <c r="D26" s="33"/>
    </row>
  </sheetData>
  <mergeCells count="15">
    <mergeCell ref="B2:D2"/>
    <mergeCell ref="B3:D3"/>
    <mergeCell ref="C5:D5"/>
    <mergeCell ref="C6:D6"/>
    <mergeCell ref="C7:D7"/>
    <mergeCell ref="C8:D8"/>
    <mergeCell ref="C9:D9"/>
    <mergeCell ref="C10:D10"/>
    <mergeCell ref="B12:D12"/>
    <mergeCell ref="B20:D20"/>
    <mergeCell ref="C21:D21"/>
    <mergeCell ref="C22:D22"/>
    <mergeCell ref="C23:D23"/>
    <mergeCell ref="C24:D24"/>
    <mergeCell ref="B26:D26"/>
  </mergeCells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수습평가표</vt:lpstr>
      <vt:lpstr>월별체크리스트</vt:lpstr>
      <vt:lpstr>종합결과</vt:lpstr>
      <vt:lpstr>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 대진</cp:lastModifiedBy>
  <cp:revision>0</cp:revision>
  <dcterms:created xsi:type="dcterms:W3CDTF">2026-07-15T06:51:49Z</dcterms:created>
  <dcterms:modified xsi:type="dcterms:W3CDTF">2026-07-15T07:20:37Z</dcterms:modified>
  <dc:language>en-US</dc:language>
</cp:coreProperties>
</file>